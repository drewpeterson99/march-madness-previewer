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34ef0feffdd206/Documents/Personal Life/Sports/CBB/"/>
    </mc:Choice>
  </mc:AlternateContent>
  <xr:revisionPtr revIDLastSave="91" documentId="13_ncr:1_{D978BA2F-A237-48FD-84BA-FEA5E0DB89A2}" xr6:coauthVersionLast="47" xr6:coauthVersionMax="47" xr10:uidLastSave="{17ADEB0B-6B75-4151-B23B-5AEE834A715E}"/>
  <bookViews>
    <workbookView xWindow="-28920" yWindow="-120" windowWidth="29040" windowHeight="15720" activeTab="1" xr2:uid="{A5B2F9FC-FB27-41D3-9882-716C8D814AE7}"/>
  </bookViews>
  <sheets>
    <sheet name="README" sheetId="18" r:id="rId1"/>
    <sheet name="Matchup Comparison" sheetId="8" r:id="rId2"/>
    <sheet name="TeamRankings Data" sheetId="29" r:id="rId3"/>
    <sheet name="2023 Game Score (Player)" sheetId="10" state="hidden" r:id="rId4"/>
  </sheets>
  <definedNames>
    <definedName name="Columns">'TeamRankings Data'!$B$1:$BA$1</definedName>
    <definedName name="Data">'TeamRankings Data'!$B$2:$BA$363</definedName>
    <definedName name="Teams">'TeamRankings Data'!$A$2:$A$363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8" l="1"/>
  <c r="N7" i="8"/>
  <c r="N6" i="8"/>
  <c r="M7" i="8"/>
  <c r="M6" i="8"/>
  <c r="L7" i="8"/>
  <c r="L6" i="8"/>
  <c r="K7" i="8"/>
  <c r="K6" i="8"/>
  <c r="J7" i="8"/>
  <c r="J6" i="8"/>
  <c r="I7" i="8"/>
  <c r="I6" i="8"/>
  <c r="H7" i="8"/>
  <c r="H6" i="8"/>
  <c r="G7" i="8"/>
  <c r="G6" i="8"/>
  <c r="F7" i="8"/>
  <c r="F6" i="8"/>
  <c r="E7" i="8"/>
  <c r="E6" i="8"/>
  <c r="D7" i="8"/>
  <c r="D6" i="8"/>
  <c r="C7" i="8"/>
  <c r="B15" i="8"/>
  <c r="H15" i="8" s="1"/>
  <c r="B8" i="8"/>
  <c r="J8" i="8" s="1"/>
  <c r="B9" i="8"/>
  <c r="C9" i="8" s="1"/>
  <c r="B14" i="8"/>
  <c r="B23" i="8" s="1"/>
  <c r="J23" i="8" s="1"/>
  <c r="B16" i="8"/>
  <c r="H16" i="8" s="1"/>
  <c r="B13" i="8"/>
  <c r="B20" i="8" s="1"/>
  <c r="G20" i="8" s="1"/>
  <c r="D15" i="8" l="1"/>
  <c r="D16" i="8"/>
  <c r="E13" i="8"/>
  <c r="E14" i="8"/>
  <c r="E16" i="8"/>
  <c r="F14" i="8"/>
  <c r="F13" i="8"/>
  <c r="F16" i="8"/>
  <c r="G13" i="8"/>
  <c r="G14" i="8"/>
  <c r="H23" i="8"/>
  <c r="F23" i="8"/>
  <c r="I23" i="8"/>
  <c r="I20" i="8"/>
  <c r="I9" i="8"/>
  <c r="J9" i="8"/>
  <c r="K9" i="8"/>
  <c r="D9" i="8"/>
  <c r="L9" i="8"/>
  <c r="E9" i="8"/>
  <c r="F9" i="8"/>
  <c r="H20" i="8"/>
  <c r="F20" i="8"/>
  <c r="G9" i="8"/>
  <c r="J20" i="8"/>
  <c r="G16" i="8"/>
  <c r="H14" i="8"/>
  <c r="M9" i="8"/>
  <c r="C20" i="8"/>
  <c r="D20" i="8"/>
  <c r="E20" i="8"/>
  <c r="N9" i="8"/>
  <c r="H9" i="8"/>
  <c r="C14" i="8"/>
  <c r="C23" i="8"/>
  <c r="D13" i="8"/>
  <c r="D23" i="8"/>
  <c r="D14" i="8"/>
  <c r="E23" i="8"/>
  <c r="F8" i="8"/>
  <c r="K8" i="8"/>
  <c r="G8" i="8"/>
  <c r="L8" i="8"/>
  <c r="E15" i="8"/>
  <c r="H8" i="8"/>
  <c r="M8" i="8"/>
  <c r="F15" i="8"/>
  <c r="D8" i="8"/>
  <c r="I8" i="8"/>
  <c r="N8" i="8"/>
  <c r="G15" i="8"/>
  <c r="C13" i="8"/>
  <c r="H13" i="8"/>
  <c r="E8" i="8"/>
  <c r="C15" i="8"/>
  <c r="G23" i="8"/>
  <c r="C16" i="8"/>
  <c r="C8" i="8"/>
  <c r="B21" i="8"/>
  <c r="I21" i="8" s="1"/>
  <c r="B22" i="8"/>
  <c r="I22" i="8" s="1"/>
  <c r="F22" i="8" l="1"/>
  <c r="H22" i="8"/>
  <c r="J22" i="8"/>
  <c r="G22" i="8"/>
  <c r="F21" i="8"/>
  <c r="H21" i="8"/>
  <c r="E22" i="8"/>
  <c r="D22" i="8"/>
  <c r="C22" i="8"/>
  <c r="J21" i="8"/>
  <c r="G21" i="8"/>
  <c r="E21" i="8"/>
  <c r="D21" i="8"/>
  <c r="C21" i="8"/>
</calcChain>
</file>

<file path=xl/sharedStrings.xml><?xml version="1.0" encoding="utf-8"?>
<sst xmlns="http://schemas.openxmlformats.org/spreadsheetml/2006/main" count="827" uniqueCount="615">
  <si>
    <t>S Dakota St</t>
  </si>
  <si>
    <t>Gonzaga</t>
  </si>
  <si>
    <t>Vermont</t>
  </si>
  <si>
    <t>Purdue</t>
  </si>
  <si>
    <t>Princeton</t>
  </si>
  <si>
    <t>--</t>
  </si>
  <si>
    <t>Winthrop</t>
  </si>
  <si>
    <t>Wake Forest</t>
  </si>
  <si>
    <t>N Colorado</t>
  </si>
  <si>
    <t>Arizona</t>
  </si>
  <si>
    <t>Colgate</t>
  </si>
  <si>
    <t>Belmont</t>
  </si>
  <si>
    <t>Furman</t>
  </si>
  <si>
    <t>Duke</t>
  </si>
  <si>
    <t>Davidson</t>
  </si>
  <si>
    <t>Liberty</t>
  </si>
  <si>
    <t>Santa Clara</t>
  </si>
  <si>
    <t>Colorado St</t>
  </si>
  <si>
    <t>Missouri St</t>
  </si>
  <si>
    <t>Oklahoma</t>
  </si>
  <si>
    <t>Utah State</t>
  </si>
  <si>
    <t>Kansas</t>
  </si>
  <si>
    <t>Notre Dame</t>
  </si>
  <si>
    <t>Dayton</t>
  </si>
  <si>
    <t>Oral Roberts</t>
  </si>
  <si>
    <t>Wofford</t>
  </si>
  <si>
    <t>Montana St</t>
  </si>
  <si>
    <t>Iowa</t>
  </si>
  <si>
    <t>Houston</t>
  </si>
  <si>
    <t>UCSB</t>
  </si>
  <si>
    <t>Delaware</t>
  </si>
  <si>
    <t>Cornell</t>
  </si>
  <si>
    <t>Toledo</t>
  </si>
  <si>
    <t>Cleveland St</t>
  </si>
  <si>
    <t>Hofstra</t>
  </si>
  <si>
    <t>Kentucky</t>
  </si>
  <si>
    <t>Bellarmine</t>
  </si>
  <si>
    <t>Illinois</t>
  </si>
  <si>
    <t>San Francisco</t>
  </si>
  <si>
    <t>Rice</t>
  </si>
  <si>
    <t>Murray St</t>
  </si>
  <si>
    <t>Mercer</t>
  </si>
  <si>
    <t>UAB</t>
  </si>
  <si>
    <t>Baylor</t>
  </si>
  <si>
    <t>Charlotte</t>
  </si>
  <si>
    <t>Akron</t>
  </si>
  <si>
    <t>Chattanooga</t>
  </si>
  <si>
    <t>Bucknell</t>
  </si>
  <si>
    <t>Denver</t>
  </si>
  <si>
    <t>W Kentucky</t>
  </si>
  <si>
    <t>N Iowa</t>
  </si>
  <si>
    <t>Memphis</t>
  </si>
  <si>
    <t>Marquette</t>
  </si>
  <si>
    <t>Syracuse</t>
  </si>
  <si>
    <t>Morehead St</t>
  </si>
  <si>
    <t>Clemson</t>
  </si>
  <si>
    <t>Wyoming</t>
  </si>
  <si>
    <t>Texas Tech</t>
  </si>
  <si>
    <t>Michigan</t>
  </si>
  <si>
    <t>Lipscomb</t>
  </si>
  <si>
    <t>Boston U</t>
  </si>
  <si>
    <t>Lehigh</t>
  </si>
  <si>
    <t>S Utah</t>
  </si>
  <si>
    <t>N Carolina</t>
  </si>
  <si>
    <t>Wright State</t>
  </si>
  <si>
    <t>Drexel</t>
  </si>
  <si>
    <t>South Dakota</t>
  </si>
  <si>
    <t>SE Louisiana</t>
  </si>
  <si>
    <t>Michigan St</t>
  </si>
  <si>
    <t>Towson</t>
  </si>
  <si>
    <t>Villanova</t>
  </si>
  <si>
    <t>Loyola Mymt</t>
  </si>
  <si>
    <t>LA Tech</t>
  </si>
  <si>
    <t>Kennesaw St</t>
  </si>
  <si>
    <t>N Dakota St</t>
  </si>
  <si>
    <t>Illinois St</t>
  </si>
  <si>
    <t>Samford</t>
  </si>
  <si>
    <t>Longwood</t>
  </si>
  <si>
    <t>S Alabama</t>
  </si>
  <si>
    <t>Buffalo</t>
  </si>
  <si>
    <t>Richmond</t>
  </si>
  <si>
    <t>Norfolk St</t>
  </si>
  <si>
    <t>S Illinois</t>
  </si>
  <si>
    <t>Alabama</t>
  </si>
  <si>
    <t>U Penn</t>
  </si>
  <si>
    <t>SC Upstate</t>
  </si>
  <si>
    <t>Campbell</t>
  </si>
  <si>
    <t>Indiana</t>
  </si>
  <si>
    <t>Tulane</t>
  </si>
  <si>
    <t>BYU</t>
  </si>
  <si>
    <t>Oregon</t>
  </si>
  <si>
    <t>Bradley</t>
  </si>
  <si>
    <t>USC</t>
  </si>
  <si>
    <t>Valparaiso</t>
  </si>
  <si>
    <t>VCU</t>
  </si>
  <si>
    <t>Middle Tenn</t>
  </si>
  <si>
    <t>Creighton</t>
  </si>
  <si>
    <t>Air Force</t>
  </si>
  <si>
    <t>Saint Louis</t>
  </si>
  <si>
    <t>Ohio</t>
  </si>
  <si>
    <t>St Johns</t>
  </si>
  <si>
    <t>Minnesota</t>
  </si>
  <si>
    <t>UC Riverside</t>
  </si>
  <si>
    <t>Iona</t>
  </si>
  <si>
    <t>Nevada</t>
  </si>
  <si>
    <t>Lafayette</t>
  </si>
  <si>
    <t>Indiana St</t>
  </si>
  <si>
    <t>Drake</t>
  </si>
  <si>
    <t>UCLA</t>
  </si>
  <si>
    <t>Rhode Island</t>
  </si>
  <si>
    <t>Penn State</t>
  </si>
  <si>
    <t>Howard</t>
  </si>
  <si>
    <t>Colorado</t>
  </si>
  <si>
    <t>Xavier</t>
  </si>
  <si>
    <t>Marist</t>
  </si>
  <si>
    <t>Nebraska</t>
  </si>
  <si>
    <t>Auburn</t>
  </si>
  <si>
    <t>Stony Brook</t>
  </si>
  <si>
    <t>Tennessee</t>
  </si>
  <si>
    <t>Vanderbilt</t>
  </si>
  <si>
    <t>Cal Baptist</t>
  </si>
  <si>
    <t>Providence</t>
  </si>
  <si>
    <t>Montana</t>
  </si>
  <si>
    <t>Idaho</t>
  </si>
  <si>
    <t>Georgia</t>
  </si>
  <si>
    <t>W Illinois</t>
  </si>
  <si>
    <t>Yale</t>
  </si>
  <si>
    <t>New Orleans</t>
  </si>
  <si>
    <t>Quinnipiac</t>
  </si>
  <si>
    <t>Fresno St</t>
  </si>
  <si>
    <t>Texas</t>
  </si>
  <si>
    <t>Florida</t>
  </si>
  <si>
    <t>Florida Intl</t>
  </si>
  <si>
    <t>Wagner</t>
  </si>
  <si>
    <t>NC-Asheville</t>
  </si>
  <si>
    <t>Texas A&amp;M</t>
  </si>
  <si>
    <t>Stanford</t>
  </si>
  <si>
    <t>San Jose St</t>
  </si>
  <si>
    <t>Bryant</t>
  </si>
  <si>
    <t>Coastal Car</t>
  </si>
  <si>
    <t>Virginia</t>
  </si>
  <si>
    <t>St Josephs</t>
  </si>
  <si>
    <t>American</t>
  </si>
  <si>
    <t>Connecticut</t>
  </si>
  <si>
    <t>Harvard</t>
  </si>
  <si>
    <t>Tulsa</t>
  </si>
  <si>
    <t>Portland</t>
  </si>
  <si>
    <t>Mississippi</t>
  </si>
  <si>
    <t>Rutgers</t>
  </si>
  <si>
    <t>LSU</t>
  </si>
  <si>
    <t>N Kentucky</t>
  </si>
  <si>
    <t>Miss State</t>
  </si>
  <si>
    <t>NW State</t>
  </si>
  <si>
    <t>Marshall</t>
  </si>
  <si>
    <t>Brown</t>
  </si>
  <si>
    <t>Maryland</t>
  </si>
  <si>
    <t>New Mexico</t>
  </si>
  <si>
    <t>Kansas St</t>
  </si>
  <si>
    <t>Arkansas St</t>
  </si>
  <si>
    <t>W Michigan</t>
  </si>
  <si>
    <t>Niagara</t>
  </si>
  <si>
    <t>CS Fullerton</t>
  </si>
  <si>
    <t>Fairfield</t>
  </si>
  <si>
    <t>Arkansas</t>
  </si>
  <si>
    <t>Oregon St</t>
  </si>
  <si>
    <t>Southern</t>
  </si>
  <si>
    <t>Oakland</t>
  </si>
  <si>
    <t>UNLV</t>
  </si>
  <si>
    <t>Northwestern</t>
  </si>
  <si>
    <t>Florida St</t>
  </si>
  <si>
    <t>Elon</t>
  </si>
  <si>
    <t>High Point</t>
  </si>
  <si>
    <t>Stetson</t>
  </si>
  <si>
    <t>Binghamton</t>
  </si>
  <si>
    <t>Louisville</t>
  </si>
  <si>
    <t>San Diego St</t>
  </si>
  <si>
    <t>Army</t>
  </si>
  <si>
    <t>DePaul</t>
  </si>
  <si>
    <t>Siena</t>
  </si>
  <si>
    <t>LA Lafayette</t>
  </si>
  <si>
    <t>Jacksonville</t>
  </si>
  <si>
    <t>UC Davis</t>
  </si>
  <si>
    <t>Merrimack</t>
  </si>
  <si>
    <t>Columbia</t>
  </si>
  <si>
    <t>Utah</t>
  </si>
  <si>
    <t>Prairie View</t>
  </si>
  <si>
    <t>LIU</t>
  </si>
  <si>
    <t>E Kentucky</t>
  </si>
  <si>
    <t>Seattle</t>
  </si>
  <si>
    <t>Manhattan</t>
  </si>
  <si>
    <t>Wisconsin</t>
  </si>
  <si>
    <t>Dartmouth</t>
  </si>
  <si>
    <t>E Michigan</t>
  </si>
  <si>
    <t>N Florida</t>
  </si>
  <si>
    <t>App State</t>
  </si>
  <si>
    <t>Oklahoma St</t>
  </si>
  <si>
    <t>NC State</t>
  </si>
  <si>
    <t>N Arizona</t>
  </si>
  <si>
    <t>W Carolina</t>
  </si>
  <si>
    <t>Abl Christian</t>
  </si>
  <si>
    <t>La Salle</t>
  </si>
  <si>
    <t>Alabama St</t>
  </si>
  <si>
    <t>NC Central</t>
  </si>
  <si>
    <t>UC Irvine</t>
  </si>
  <si>
    <t>Seton Hall</t>
  </si>
  <si>
    <t>Navy</t>
  </si>
  <si>
    <t>Pepperdine</t>
  </si>
  <si>
    <t>Monmouth</t>
  </si>
  <si>
    <t>Troy</t>
  </si>
  <si>
    <t>N Illinois</t>
  </si>
  <si>
    <t>North Dakota</t>
  </si>
  <si>
    <t>E Carolina</t>
  </si>
  <si>
    <t>Arizona St</t>
  </si>
  <si>
    <t>Butler</t>
  </si>
  <si>
    <t>Portland St</t>
  </si>
  <si>
    <t>Missouri</t>
  </si>
  <si>
    <t>Evansville</t>
  </si>
  <si>
    <t>Old Dominion</t>
  </si>
  <si>
    <t>California</t>
  </si>
  <si>
    <t>St Fran (PA)</t>
  </si>
  <si>
    <t>Cincinnati</t>
  </si>
  <si>
    <t>Maine</t>
  </si>
  <si>
    <t>Wichita St</t>
  </si>
  <si>
    <t>San Diego</t>
  </si>
  <si>
    <t>Pittsburgh</t>
  </si>
  <si>
    <t>NC A&amp;T</t>
  </si>
  <si>
    <t>Austin Peay</t>
  </si>
  <si>
    <t>Radford</t>
  </si>
  <si>
    <t>NJIT</t>
  </si>
  <si>
    <t>SIU Edward</t>
  </si>
  <si>
    <t>Washington</t>
  </si>
  <si>
    <t>Morgan St</t>
  </si>
  <si>
    <t>F Dickinson</t>
  </si>
  <si>
    <t>Albany</t>
  </si>
  <si>
    <t>Pacific</t>
  </si>
  <si>
    <t>Georgetown</t>
  </si>
  <si>
    <t>Cal Poly</t>
  </si>
  <si>
    <t>Coppin State</t>
  </si>
  <si>
    <t>Maryland ES</t>
  </si>
  <si>
    <t>Chicago St</t>
  </si>
  <si>
    <t>Florida A&amp;M</t>
  </si>
  <si>
    <t>Fordham</t>
  </si>
  <si>
    <t>Rider</t>
  </si>
  <si>
    <t>Canisius</t>
  </si>
  <si>
    <t>Presbyterian</t>
  </si>
  <si>
    <t>Temple</t>
  </si>
  <si>
    <t>Duquesne</t>
  </si>
  <si>
    <t>Jackson St</t>
  </si>
  <si>
    <t>Holy Cross</t>
  </si>
  <si>
    <t>Georgia St</t>
  </si>
  <si>
    <t>Delaware St</t>
  </si>
  <si>
    <t>Lamar</t>
  </si>
  <si>
    <t>Hampton</t>
  </si>
  <si>
    <t>E Illinois</t>
  </si>
  <si>
    <t>N Alabama</t>
  </si>
  <si>
    <t>S Florida</t>
  </si>
  <si>
    <t>Team</t>
  </si>
  <si>
    <t>Rank</t>
  </si>
  <si>
    <t>Away EFG%</t>
  </si>
  <si>
    <t>3P%</t>
  </si>
  <si>
    <t>Opp. EFG%</t>
  </si>
  <si>
    <t>Opp. 3P%</t>
  </si>
  <si>
    <t>F</t>
  </si>
  <si>
    <t>Oscar Tshiebwe</t>
  </si>
  <si>
    <t>Jake Stephens</t>
  </si>
  <si>
    <t>C</t>
  </si>
  <si>
    <t>G</t>
  </si>
  <si>
    <t>Darius McGhee</t>
  </si>
  <si>
    <t>Trayce Jackson-Davis</t>
  </si>
  <si>
    <t>Armando Bacot</t>
  </si>
  <si>
    <t>KJ Williams</t>
  </si>
  <si>
    <t>Hunter Dickinson</t>
  </si>
  <si>
    <t>Antoine Davis</t>
  </si>
  <si>
    <t>Kendric Davis</t>
  </si>
  <si>
    <t>Max Abmas</t>
  </si>
  <si>
    <t>Colin Castleton</t>
  </si>
  <si>
    <t>Aaron Estrada</t>
  </si>
  <si>
    <t>JT Shumate</t>
  </si>
  <si>
    <t>Souley Boum</t>
  </si>
  <si>
    <t>Ryan Kalkbrenner</t>
  </si>
  <si>
    <t>Drew Timme</t>
  </si>
  <si>
    <t>Drew Pember</t>
  </si>
  <si>
    <t>Jalen Slawson</t>
  </si>
  <si>
    <t>Zach Edey</t>
  </si>
  <si>
    <t>Jordan Minor</t>
  </si>
  <si>
    <t>Jordan Walker</t>
  </si>
  <si>
    <t>Enrique Freeman</t>
  </si>
  <si>
    <t>Player</t>
  </si>
  <si>
    <t>Value</t>
  </si>
  <si>
    <t>Miami</t>
  </si>
  <si>
    <t>Def. Eff.</t>
  </si>
  <si>
    <t>Def. Rb%</t>
  </si>
  <si>
    <t>Off. Rb%</t>
  </si>
  <si>
    <t>Off. Eff.</t>
  </si>
  <si>
    <t>Overall Quality</t>
  </si>
  <si>
    <t>% Points from 3</t>
  </si>
  <si>
    <t>Player Game Score (combines major basketball statistics into a single number, look it up online)</t>
  </si>
  <si>
    <t>Opp. Eff. Pos. %</t>
  </si>
  <si>
    <t>Eff. Pos. %</t>
  </si>
  <si>
    <t>Close Win %</t>
  </si>
  <si>
    <t>Queens</t>
  </si>
  <si>
    <t>S Indiana</t>
  </si>
  <si>
    <t>Stonehill</t>
  </si>
  <si>
    <t>Utah Tech</t>
  </si>
  <si>
    <t>Lindenwood</t>
  </si>
  <si>
    <t>Pos</t>
  </si>
  <si>
    <t>Taevion Kinsey</t>
  </si>
  <si>
    <t>Josh Cohen</t>
  </si>
  <si>
    <t>Brandin Podziemski</t>
  </si>
  <si>
    <t>Jalen Pickett</t>
  </si>
  <si>
    <t>Kris Murray</t>
  </si>
  <si>
    <t>Azuolas Tubelis</t>
  </si>
  <si>
    <t>Cameron Parker</t>
  </si>
  <si>
    <t>Cam Shelton</t>
  </si>
  <si>
    <t>Rayj Dennis</t>
  </si>
  <si>
    <t>Isaac Jones</t>
  </si>
  <si>
    <t>Xavier Castaneda</t>
  </si>
  <si>
    <t>DaRon Holmes II</t>
  </si>
  <si>
    <t>Jalen Moore</t>
  </si>
  <si>
    <t>Elijah Pepper</t>
  </si>
  <si>
    <t>Malik Miller</t>
  </si>
  <si>
    <t>Brandon Miller</t>
  </si>
  <si>
    <t>Jameer Nelson Jr.</t>
  </si>
  <si>
    <t>Jordan Dingle</t>
  </si>
  <si>
    <t>DeAndre Williams</t>
  </si>
  <si>
    <t>Jesse Edwards</t>
  </si>
  <si>
    <t>Demarcus Sharp</t>
  </si>
  <si>
    <t>Sam Sessoms</t>
  </si>
  <si>
    <t>Trenton Massner</t>
  </si>
  <si>
    <t>Jaelen House</t>
  </si>
  <si>
    <t>Joel Soriano</t>
  </si>
  <si>
    <t>Tyree Appleby</t>
  </si>
  <si>
    <t>Isaiah Stevens</t>
  </si>
  <si>
    <t>Ben Krikke</t>
  </si>
  <si>
    <t>Jordan Brown</t>
  </si>
  <si>
    <t>Grant Nelson</t>
  </si>
  <si>
    <t>Mike Bothwell</t>
  </si>
  <si>
    <t>Dalton Knecht</t>
  </si>
  <si>
    <t>Markquis Nowell</t>
  </si>
  <si>
    <t>Dwayne Cohill</t>
  </si>
  <si>
    <t>Kobe Brown</t>
  </si>
  <si>
    <t>Jaime Jaquez Jr.</t>
  </si>
  <si>
    <t>Chris Ledlum</t>
  </si>
  <si>
    <t>Isaac Mushila</t>
  </si>
  <si>
    <t>Jalen Cook</t>
  </si>
  <si>
    <t>Jalen Wilson</t>
  </si>
  <si>
    <t>Dillon Jones</t>
  </si>
  <si>
    <t>Jr. Clay</t>
  </si>
  <si>
    <t>Steven Ashworth</t>
  </si>
  <si>
    <t>Tyler Kolek</t>
  </si>
  <si>
    <t>Jordan Miller</t>
  </si>
  <si>
    <t>Jaylen Forbes</t>
  </si>
  <si>
    <t>Tyler Burton</t>
  </si>
  <si>
    <t>Trey Calvin</t>
  </si>
  <si>
    <t>Nelly Junior Joseph</t>
  </si>
  <si>
    <t>James Bishop IV</t>
  </si>
  <si>
    <t>Tucker DeVries</t>
  </si>
  <si>
    <t>Morris Udeze</t>
  </si>
  <si>
    <t>Josh Roberts</t>
  </si>
  <si>
    <t>Walter Clayton Jr.</t>
  </si>
  <si>
    <t>Hunter Tyson</t>
  </si>
  <si>
    <t>Ajay Mitchell</t>
  </si>
  <si>
    <t>Khalil Shabazz</t>
  </si>
  <si>
    <t>Isaiah Moore</t>
  </si>
  <si>
    <t>Dwight Wilson III</t>
  </si>
  <si>
    <t>Denver Jones</t>
  </si>
  <si>
    <t>Andrew Taylor</t>
  </si>
  <si>
    <t>Adama Sanogo</t>
  </si>
  <si>
    <t>Ben Sheppard</t>
  </si>
  <si>
    <t>Kahliel Spear</t>
  </si>
  <si>
    <t>Jarkel Joiner</t>
  </si>
  <si>
    <t>Kellen Tynes</t>
  </si>
  <si>
    <t>Liam Robbins</t>
  </si>
  <si>
    <t>Jack Nunge</t>
  </si>
  <si>
    <t>Erik Reynolds II</t>
  </si>
  <si>
    <t>Patrick Gardner</t>
  </si>
  <si>
    <t>Jacob Ognacevic</t>
  </si>
  <si>
    <t>Marcus Sasser</t>
  </si>
  <si>
    <t>Kris Bankston</t>
  </si>
  <si>
    <t>Kelton Talford</t>
  </si>
  <si>
    <t>Taylor Hendricks</t>
  </si>
  <si>
    <t>Tolu Smith</t>
  </si>
  <si>
    <t>Cobe Williams</t>
  </si>
  <si>
    <t>Joe Bryant Jr.</t>
  </si>
  <si>
    <t>Detroit Mercy</t>
  </si>
  <si>
    <t>Weber</t>
  </si>
  <si>
    <t>Portland State</t>
  </si>
  <si>
    <t>Morgan State</t>
  </si>
  <si>
    <t>N Dakota</t>
  </si>
  <si>
    <t>Kansas State</t>
  </si>
  <si>
    <t>Youngstown State</t>
  </si>
  <si>
    <t>Louisiana State</t>
  </si>
  <si>
    <t>Tennessee State</t>
  </si>
  <si>
    <t>George Washington</t>
  </si>
  <si>
    <t>UC Santa Barbara</t>
  </si>
  <si>
    <t>Florida Int</t>
  </si>
  <si>
    <t>Robert Morris</t>
  </si>
  <si>
    <t>C Florida</t>
  </si>
  <si>
    <t>Norfolk State</t>
  </si>
  <si>
    <t>EFG%</t>
  </si>
  <si>
    <t xml:space="preserve">NOTES: </t>
  </si>
  <si>
    <t>ONLY EDIT CELLS A3 &amp; A4</t>
  </si>
  <si>
    <t>SoS</t>
  </si>
  <si>
    <t>March Readiness</t>
  </si>
  <si>
    <t>Neutral Site</t>
  </si>
  <si>
    <t>Opp. FTA/Play</t>
  </si>
  <si>
    <t>FTM/100 Pos.</t>
  </si>
  <si>
    <t>Pos./Game</t>
  </si>
  <si>
    <t>Assist/TO</t>
  </si>
  <si>
    <t>Opp. Assist/TO</t>
  </si>
  <si>
    <t>TO/Pos.</t>
  </si>
  <si>
    <t>Opp. TO/Pos.</t>
  </si>
  <si>
    <t>Explosiveness &amp; Volatility</t>
  </si>
  <si>
    <t>Rank_Predictive</t>
  </si>
  <si>
    <t>Rank_Neutral</t>
  </si>
  <si>
    <t>Rank_SoS</t>
  </si>
  <si>
    <t>Rank_NonConSoS</t>
  </si>
  <si>
    <t>Rank_Luck</t>
  </si>
  <si>
    <t>Rank_Consis</t>
  </si>
  <si>
    <t>Rank_AtTR</t>
  </si>
  <si>
    <t>Rank_oAtTR</t>
  </si>
  <si>
    <t>Rank_CloseWinPct</t>
  </si>
  <si>
    <t>Rank_EPosPct</t>
  </si>
  <si>
    <t>Rank_oEPosPct</t>
  </si>
  <si>
    <t>Rank_OEff</t>
  </si>
  <si>
    <t>Rank_DEff</t>
  </si>
  <si>
    <t>Rank_EFGPct</t>
  </si>
  <si>
    <t>Rank_AwayEFGPct</t>
  </si>
  <si>
    <t>Rank_oEFGPct</t>
  </si>
  <si>
    <t>Rank_FTMp100P</t>
  </si>
  <si>
    <t>Rank_oFTApP</t>
  </si>
  <si>
    <t>Rank_PctPtf3</t>
  </si>
  <si>
    <t>Rank_3PtPct</t>
  </si>
  <si>
    <t>Rank_o3PtPct</t>
  </si>
  <si>
    <t>Rank_ORPct</t>
  </si>
  <si>
    <t>Rank_DRPct</t>
  </si>
  <si>
    <t>Rank_PospG</t>
  </si>
  <si>
    <t>Rank_TOpPos</t>
  </si>
  <si>
    <t>Rank_oTOpPos</t>
  </si>
  <si>
    <t>Iowa St</t>
  </si>
  <si>
    <t>Ohio St</t>
  </si>
  <si>
    <t>Boise St</t>
  </si>
  <si>
    <t>UCF</t>
  </si>
  <si>
    <t>Utah St</t>
  </si>
  <si>
    <t>Penn St</t>
  </si>
  <si>
    <t>UCSD</t>
  </si>
  <si>
    <t>Weber St</t>
  </si>
  <si>
    <t>Kent St</t>
  </si>
  <si>
    <t>Louisiana</t>
  </si>
  <si>
    <t>Tarleton St</t>
  </si>
  <si>
    <t>Wright St</t>
  </si>
  <si>
    <t>Utah Valley</t>
  </si>
  <si>
    <t>Texas St</t>
  </si>
  <si>
    <t>Kansas City</t>
  </si>
  <si>
    <t>Ball St</t>
  </si>
  <si>
    <t>UTSA</t>
  </si>
  <si>
    <t>Idaho St</t>
  </si>
  <si>
    <t>Nicholls</t>
  </si>
  <si>
    <t>UL Monroe</t>
  </si>
  <si>
    <t>Le Moyne</t>
  </si>
  <si>
    <t>Alcorn St</t>
  </si>
  <si>
    <t>VMI</t>
  </si>
  <si>
    <t>Coppin St</t>
  </si>
  <si>
    <t>Value_Predictive</t>
  </si>
  <si>
    <t>Value_Neutral</t>
  </si>
  <si>
    <t>Value_SoS</t>
  </si>
  <si>
    <t>Value_NonConSoS</t>
  </si>
  <si>
    <t>Value_Luck</t>
  </si>
  <si>
    <t>Value_Consis</t>
  </si>
  <si>
    <t>Value_AtTR</t>
  </si>
  <si>
    <t>Value_oAtTR</t>
  </si>
  <si>
    <t>Value_CloseWinPct</t>
  </si>
  <si>
    <t>Value_EPosPct</t>
  </si>
  <si>
    <t>Value_oEPosPct</t>
  </si>
  <si>
    <t>Value_OEff</t>
  </si>
  <si>
    <t>Value_DEff</t>
  </si>
  <si>
    <t>Value_EFGPct</t>
  </si>
  <si>
    <t>Value_AwayEFGPct</t>
  </si>
  <si>
    <t>Value_oEFGPct</t>
  </si>
  <si>
    <t>Value_FTMp100P</t>
  </si>
  <si>
    <t>Value_oFTApP</t>
  </si>
  <si>
    <t>Value_PctPtf3</t>
  </si>
  <si>
    <t>Value_3PtPct</t>
  </si>
  <si>
    <t>Value_o3PtPct</t>
  </si>
  <si>
    <t>Value_ORPct</t>
  </si>
  <si>
    <t>Value_DRPct</t>
  </si>
  <si>
    <t>Value_PospG</t>
  </si>
  <si>
    <t>Value_TOpPos</t>
  </si>
  <si>
    <t>Value_oTOpPos</t>
  </si>
  <si>
    <t>Value_</t>
  </si>
  <si>
    <t>Rank_</t>
  </si>
  <si>
    <t>Predictive</t>
  </si>
  <si>
    <t>EFGPct</t>
  </si>
  <si>
    <t>AwayEFGPct</t>
  </si>
  <si>
    <t>oEFGPct</t>
  </si>
  <si>
    <t>OEff</t>
  </si>
  <si>
    <t>Deff</t>
  </si>
  <si>
    <t>EPosPct</t>
  </si>
  <si>
    <t>oEPosPct</t>
  </si>
  <si>
    <t>ORPct</t>
  </si>
  <si>
    <t>DRPct</t>
  </si>
  <si>
    <t>AtTR</t>
  </si>
  <si>
    <t>oAtTR</t>
  </si>
  <si>
    <t>TOpPos</t>
  </si>
  <si>
    <t>oTOpPos</t>
  </si>
  <si>
    <t>PctPtf3</t>
  </si>
  <si>
    <t>3PtPct</t>
  </si>
  <si>
    <t>o3PtPct</t>
  </si>
  <si>
    <t>PospG</t>
  </si>
  <si>
    <t>FTMp100P</t>
  </si>
  <si>
    <t>oFTApP</t>
  </si>
  <si>
    <t>Neutral</t>
  </si>
  <si>
    <t>CloseWinPct</t>
  </si>
  <si>
    <t>NonConSoS</t>
  </si>
  <si>
    <t>Luck</t>
  </si>
  <si>
    <t>Consistency</t>
  </si>
  <si>
    <t>Consis</t>
  </si>
  <si>
    <t>Non-Con SoS</t>
  </si>
  <si>
    <t>NEED TO ADD PREDICTIVE ANALYTICS: KenPom, Evan Miya, Bart Torvik and ESPN BPI</t>
  </si>
  <si>
    <t>Predict. Rating</t>
  </si>
  <si>
    <t>NEED TO ADD RESUME METRICS: SOR, KPI and WAB</t>
  </si>
  <si>
    <t>St John's</t>
  </si>
  <si>
    <t>UConn</t>
  </si>
  <si>
    <t>North Carolina</t>
  </si>
  <si>
    <t>Mississippi St</t>
  </si>
  <si>
    <t>Saint Mary's</t>
  </si>
  <si>
    <t>SMU</t>
  </si>
  <si>
    <t>West Virginia</t>
  </si>
  <si>
    <t>TCU</t>
  </si>
  <si>
    <t>McNeese</t>
  </si>
  <si>
    <t>South Carolina</t>
  </si>
  <si>
    <t>George Mason</t>
  </si>
  <si>
    <t>Saint Joseph's</t>
  </si>
  <si>
    <t>N Texas</t>
  </si>
  <si>
    <t>Grand Canyon</t>
  </si>
  <si>
    <t>Georgia Tech</t>
  </si>
  <si>
    <t>Loyola Chi</t>
  </si>
  <si>
    <t>Florida Atlantic</t>
  </si>
  <si>
    <t>St Bonaventure</t>
  </si>
  <si>
    <t>NC Wilmington</t>
  </si>
  <si>
    <t>Washington St</t>
  </si>
  <si>
    <t>G Washington</t>
  </si>
  <si>
    <t>Virginia Tech</t>
  </si>
  <si>
    <t>Louisiana Tech</t>
  </si>
  <si>
    <t>CS Northridge</t>
  </si>
  <si>
    <t>Charleston</t>
  </si>
  <si>
    <t>St Thomas</t>
  </si>
  <si>
    <t>Jacksonville St</t>
  </si>
  <si>
    <t>Milwaukee</t>
  </si>
  <si>
    <t>NC Greensboro</t>
  </si>
  <si>
    <t>New Mexico St</t>
  </si>
  <si>
    <t>Purdue FW</t>
  </si>
  <si>
    <t>E Tennessee St</t>
  </si>
  <si>
    <t>Miami OH</t>
  </si>
  <si>
    <t>J Madison</t>
  </si>
  <si>
    <t>Illinois Chicago</t>
  </si>
  <si>
    <t>Boston College</t>
  </si>
  <si>
    <t>UTEP</t>
  </si>
  <si>
    <t>Texas A&amp;M-CC</t>
  </si>
  <si>
    <t>FGCU</t>
  </si>
  <si>
    <t>UMass</t>
  </si>
  <si>
    <t>Sam Houston</t>
  </si>
  <si>
    <t>Omaha</t>
  </si>
  <si>
    <t>S Carolina St</t>
  </si>
  <si>
    <t>Youngstown St</t>
  </si>
  <si>
    <t>C Connecticut</t>
  </si>
  <si>
    <t>NC Asheville</t>
  </si>
  <si>
    <t>UMass Lowell</t>
  </si>
  <si>
    <t>Northeastern</t>
  </si>
  <si>
    <t>UT Arlington</t>
  </si>
  <si>
    <t>William &amp; Mary</t>
  </si>
  <si>
    <t>C Michigan</t>
  </si>
  <si>
    <t>SE Missouri St</t>
  </si>
  <si>
    <t>Hawai'i</t>
  </si>
  <si>
    <t>Mt St Mary's</t>
  </si>
  <si>
    <t>Little Rock</t>
  </si>
  <si>
    <t>CS Bakersfield</t>
  </si>
  <si>
    <t>Tennessee St</t>
  </si>
  <si>
    <t>Georgia So</t>
  </si>
  <si>
    <t>Gardner-Webb</t>
  </si>
  <si>
    <t>Incarnate Word</t>
  </si>
  <si>
    <t>UT Rio Grande</t>
  </si>
  <si>
    <t>Saint Peter's</t>
  </si>
  <si>
    <t>Sacred Heart</t>
  </si>
  <si>
    <t>SF Austin</t>
  </si>
  <si>
    <t>UMBC</t>
  </si>
  <si>
    <t>Texas So</t>
  </si>
  <si>
    <t>Penn</t>
  </si>
  <si>
    <t>Bethune</t>
  </si>
  <si>
    <t>Bowling Green</t>
  </si>
  <si>
    <t>E Washington</t>
  </si>
  <si>
    <t>UT Martin</t>
  </si>
  <si>
    <t>Southern Miss</t>
  </si>
  <si>
    <t>Hou Christian</t>
  </si>
  <si>
    <t>Charleston So</t>
  </si>
  <si>
    <t>Loyola MD</t>
  </si>
  <si>
    <t>Grambling</t>
  </si>
  <si>
    <t>Long Beach St</t>
  </si>
  <si>
    <t>St Francis PA</t>
  </si>
  <si>
    <t>Tenn Tech</t>
  </si>
  <si>
    <t>IU Indy</t>
  </si>
  <si>
    <t>Sacramento St</t>
  </si>
  <si>
    <t>E Texas A&amp;M</t>
  </si>
  <si>
    <t>Green Bay</t>
  </si>
  <si>
    <t>Mercyhurst</t>
  </si>
  <si>
    <t>C Arkansas</t>
  </si>
  <si>
    <t>W Georgia</t>
  </si>
  <si>
    <t>New Hampshire</t>
  </si>
  <si>
    <t>The Citadel</t>
  </si>
  <si>
    <t>Alabama A&amp;M</t>
  </si>
  <si>
    <t>AR-Pine Bluff</t>
  </si>
  <si>
    <t>Miss Valley St</t>
  </si>
  <si>
    <t>Colored rankings at the bottom of each table simply reflect national positioning and therefore range from 1 to 364 (364 D-1 college basketball programs in the country in 2025)</t>
  </si>
  <si>
    <t>All data pulled from TeamRankings (https://www.teamrankings.com/) using webscraping Python script</t>
  </si>
  <si>
    <t>The inputted team names have to match the corresponding names on the Data tab exactly in order for lookups to work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</si>
</sst>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0" xfId="0" quotePrefix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5" xfId="0" applyFont="1" applyBorder="1"/>
    <xf numFmtId="0" fontId="1" fillId="0" borderId="7" xfId="0" applyFont="1" applyBorder="1"/>
    <xf numFmtId="0" fontId="2" fillId="0" borderId="4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0" xfId="0" applyNumberFormat="1"/>
    <xf numFmtId="0" fontId="3" fillId="0" borderId="0" xfId="0" applyFont="1"/>
    <xf numFmtId="165" fontId="0" fillId="0" borderId="4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1" fontId="7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8" fillId="0" borderId="0" xfId="0" applyFont="1"/>
    <xf numFmtId="0" fontId="8" fillId="0" borderId="3" xfId="0" applyFont="1" applyBorder="1"/>
    <xf numFmtId="0" fontId="7" fillId="0" borderId="0" xfId="0" applyFont="1" applyAlignment="1">
      <alignment horizontal="center"/>
    </xf>
    <xf numFmtId="49" fontId="4" fillId="0" borderId="0" xfId="0" applyNumberFormat="1" applyFont="1"/>
    <xf numFmtId="0" fontId="5" fillId="0" borderId="3" xfId="0" applyFont="1" applyBorder="1"/>
    <xf numFmtId="0" fontId="5" fillId="0" borderId="5" xfId="0" applyFont="1" applyBorder="1"/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" fillId="0" borderId="9" xfId="0" applyFont="1" applyBorder="1" applyAlignment="1">
      <alignment horizontal="center"/>
    </xf>
    <xf numFmtId="165" fontId="0" fillId="0" borderId="10" xfId="0" quotePrefix="1" applyNumberFormat="1" applyBorder="1" applyAlignment="1">
      <alignment horizontal="center"/>
    </xf>
    <xf numFmtId="165" fontId="0" fillId="0" borderId="11" xfId="0" quotePrefix="1" applyNumberForma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9" fillId="0" borderId="0" xfId="0" applyFont="1"/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353E-DE4A-46D7-AB55-EF75D44BD294}">
  <sheetPr>
    <tabColor theme="0"/>
  </sheetPr>
  <dimension ref="A1:A5"/>
  <sheetViews>
    <sheetView showGridLines="0" workbookViewId="0"/>
  </sheetViews>
  <sheetFormatPr defaultRowHeight="15" x14ac:dyDescent="0.25"/>
  <sheetData>
    <row r="1" spans="1:1" x14ac:dyDescent="0.25">
      <c r="A1" t="s">
        <v>613</v>
      </c>
    </row>
    <row r="2" spans="1:1" x14ac:dyDescent="0.25">
      <c r="A2" t="s">
        <v>612</v>
      </c>
    </row>
    <row r="4" spans="1:1" x14ac:dyDescent="0.25">
      <c r="A4" s="37" t="s">
        <v>518</v>
      </c>
    </row>
    <row r="5" spans="1:1" x14ac:dyDescent="0.25">
      <c r="A5" s="37" t="s">
        <v>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31F0-74F2-41CE-9005-87DF049A4A57}">
  <sheetPr>
    <tabColor theme="4"/>
  </sheetPr>
  <dimension ref="A1:V28"/>
  <sheetViews>
    <sheetView showGridLines="0" tabSelected="1" topLeftCell="B4" zoomScaleNormal="100" workbookViewId="0">
      <selection activeCell="B7" sqref="B7"/>
    </sheetView>
  </sheetViews>
  <sheetFormatPr defaultRowHeight="15" x14ac:dyDescent="0.25"/>
  <cols>
    <col min="1" max="1" width="0" style="45" hidden="1" customWidth="1"/>
    <col min="2" max="2" width="14" customWidth="1"/>
    <col min="3" max="3" width="14" bestFit="1" customWidth="1"/>
    <col min="4" max="4" width="13.7109375" bestFit="1" customWidth="1"/>
    <col min="5" max="5" width="14.140625" bestFit="1" customWidth="1"/>
    <col min="6" max="6" width="12.42578125" customWidth="1"/>
    <col min="7" max="7" width="11" bestFit="1" customWidth="1"/>
    <col min="8" max="8" width="10.140625" bestFit="1" customWidth="1"/>
    <col min="9" max="9" width="10.7109375" bestFit="1" customWidth="1"/>
    <col min="10" max="10" width="15" bestFit="1" customWidth="1"/>
    <col min="11" max="11" width="14.140625" bestFit="1" customWidth="1"/>
    <col min="12" max="13" width="11.5703125" customWidth="1"/>
    <col min="14" max="14" width="14.28515625" bestFit="1" customWidth="1"/>
    <col min="15" max="15" width="11.42578125" bestFit="1" customWidth="1"/>
    <col min="16" max="16" width="13.42578125" bestFit="1" customWidth="1"/>
    <col min="17" max="17" width="13.42578125" customWidth="1"/>
    <col min="18" max="18" width="15.42578125" bestFit="1" customWidth="1"/>
    <col min="19" max="19" width="16" bestFit="1" customWidth="1"/>
    <col min="20" max="20" width="14.42578125" style="2" bestFit="1" customWidth="1"/>
  </cols>
  <sheetData>
    <row r="1" spans="1:20" s="35" customFormat="1" hidden="1" x14ac:dyDescent="0.25">
      <c r="A1" s="45"/>
      <c r="C1" s="35" t="s">
        <v>491</v>
      </c>
      <c r="D1" s="35" t="s">
        <v>492</v>
      </c>
      <c r="E1" s="35" t="s">
        <v>493</v>
      </c>
      <c r="F1" s="35" t="s">
        <v>494</v>
      </c>
      <c r="G1" s="35" t="s">
        <v>495</v>
      </c>
      <c r="H1" s="35" t="s">
        <v>496</v>
      </c>
      <c r="I1" s="35" t="s">
        <v>497</v>
      </c>
      <c r="J1" s="35" t="s">
        <v>498</v>
      </c>
      <c r="K1" s="35" t="s">
        <v>499</v>
      </c>
      <c r="L1" s="35" t="s">
        <v>500</v>
      </c>
      <c r="M1" s="35" t="s">
        <v>501</v>
      </c>
      <c r="N1" s="35" t="s">
        <v>502</v>
      </c>
      <c r="T1" s="36"/>
    </row>
    <row r="2" spans="1:20" s="35" customFormat="1" hidden="1" x14ac:dyDescent="0.25">
      <c r="A2" s="45"/>
      <c r="C2" s="35" t="s">
        <v>503</v>
      </c>
      <c r="D2" s="35" t="s">
        <v>504</v>
      </c>
      <c r="E2" s="35" t="s">
        <v>505</v>
      </c>
      <c r="F2" s="35" t="s">
        <v>506</v>
      </c>
      <c r="G2" s="35" t="s">
        <v>507</v>
      </c>
      <c r="H2" s="35" t="s">
        <v>508</v>
      </c>
      <c r="T2" s="36"/>
    </row>
    <row r="3" spans="1:20" s="35" customFormat="1" hidden="1" x14ac:dyDescent="0.25">
      <c r="A3" s="45"/>
      <c r="C3" s="35" t="s">
        <v>509</v>
      </c>
      <c r="D3" s="35" t="s">
        <v>510</v>
      </c>
      <c r="E3" s="35" t="s">
        <v>402</v>
      </c>
      <c r="F3" s="35" t="s">
        <v>513</v>
      </c>
      <c r="G3" s="35" t="s">
        <v>511</v>
      </c>
      <c r="H3" s="35" t="s">
        <v>514</v>
      </c>
      <c r="I3" s="35" t="s">
        <v>516</v>
      </c>
      <c r="J3" s="35" t="s">
        <v>512</v>
      </c>
      <c r="T3" s="36"/>
    </row>
    <row r="4" spans="1:20" ht="15.75" thickBot="1" x14ac:dyDescent="0.3">
      <c r="B4" s="55" t="s">
        <v>294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1"/>
    </row>
    <row r="5" spans="1:20" ht="16.5" thickTop="1" thickBot="1" x14ac:dyDescent="0.3">
      <c r="B5" s="5"/>
      <c r="C5" s="50" t="s">
        <v>519</v>
      </c>
      <c r="D5" s="15" t="s">
        <v>399</v>
      </c>
      <c r="E5" s="15" t="s">
        <v>258</v>
      </c>
      <c r="F5" s="33" t="s">
        <v>260</v>
      </c>
      <c r="G5" s="15" t="s">
        <v>293</v>
      </c>
      <c r="H5" s="15" t="s">
        <v>290</v>
      </c>
      <c r="I5" s="15" t="s">
        <v>298</v>
      </c>
      <c r="J5" s="34" t="s">
        <v>297</v>
      </c>
      <c r="K5" s="15" t="s">
        <v>292</v>
      </c>
      <c r="L5" s="34" t="s">
        <v>291</v>
      </c>
      <c r="M5" s="15" t="s">
        <v>408</v>
      </c>
      <c r="N5" s="15" t="s">
        <v>409</v>
      </c>
      <c r="S5" s="2"/>
      <c r="T5"/>
    </row>
    <row r="6" spans="1:20" x14ac:dyDescent="0.25">
      <c r="A6" s="45" t="s">
        <v>489</v>
      </c>
      <c r="B6" s="46" t="s">
        <v>131</v>
      </c>
      <c r="C6" s="51">
        <f t="shared" ref="C6:N9" si="0">INDEX(Data, MATCH($B6, Teams, 0), MATCH($A6&amp;C$1, Columns, 0))</f>
        <v>24</v>
      </c>
      <c r="D6" s="6">
        <f t="shared" si="0"/>
        <v>0.55000000000000004</v>
      </c>
      <c r="E6" s="6">
        <f t="shared" si="0"/>
        <v>0.53600000000000003</v>
      </c>
      <c r="F6" s="27">
        <f t="shared" si="0"/>
        <v>0.45300000000000001</v>
      </c>
      <c r="G6" s="24">
        <f t="shared" si="0"/>
        <v>1.1779999999999999</v>
      </c>
      <c r="H6" s="24">
        <f t="shared" si="0"/>
        <v>0.95499999999999996</v>
      </c>
      <c r="I6" s="24">
        <f t="shared" si="0"/>
        <v>1.022</v>
      </c>
      <c r="J6" s="30">
        <f t="shared" si="0"/>
        <v>0.96599999999999997</v>
      </c>
      <c r="K6" s="6">
        <f t="shared" si="0"/>
        <v>0.36899999999999999</v>
      </c>
      <c r="L6" s="32">
        <f t="shared" si="0"/>
        <v>0.73699999999999999</v>
      </c>
      <c r="M6" s="19">
        <f t="shared" si="0"/>
        <v>1.4890000000000001</v>
      </c>
      <c r="N6" s="19">
        <f t="shared" si="0"/>
        <v>0.92900000000000005</v>
      </c>
      <c r="S6" s="2"/>
      <c r="T6"/>
    </row>
    <row r="7" spans="1:20" ht="15.75" thickBot="1" x14ac:dyDescent="0.3">
      <c r="A7" s="45" t="s">
        <v>489</v>
      </c>
      <c r="B7" s="47" t="s">
        <v>28</v>
      </c>
      <c r="C7" s="52">
        <f t="shared" si="0"/>
        <v>25.1</v>
      </c>
      <c r="D7" s="7">
        <f t="shared" si="0"/>
        <v>0.52700000000000002</v>
      </c>
      <c r="E7" s="7">
        <f t="shared" si="0"/>
        <v>0.502</v>
      </c>
      <c r="F7" s="28">
        <f t="shared" si="0"/>
        <v>0.44900000000000001</v>
      </c>
      <c r="G7" s="25">
        <f t="shared" si="0"/>
        <v>1.131</v>
      </c>
      <c r="H7" s="25">
        <f t="shared" si="0"/>
        <v>0.89100000000000001</v>
      </c>
      <c r="I7" s="25">
        <f t="shared" si="0"/>
        <v>1.022</v>
      </c>
      <c r="J7" s="31">
        <f t="shared" si="0"/>
        <v>0.90200000000000002</v>
      </c>
      <c r="K7" s="7">
        <f t="shared" si="0"/>
        <v>0.35699999999999998</v>
      </c>
      <c r="L7" s="28">
        <f t="shared" si="0"/>
        <v>0.749</v>
      </c>
      <c r="M7" s="20">
        <f t="shared" si="0"/>
        <v>1.288</v>
      </c>
      <c r="N7" s="20">
        <f t="shared" si="0"/>
        <v>0.78300000000000003</v>
      </c>
      <c r="S7" s="2"/>
      <c r="T7"/>
    </row>
    <row r="8" spans="1:20" x14ac:dyDescent="0.25">
      <c r="A8" s="45" t="s">
        <v>490</v>
      </c>
      <c r="B8" s="43" t="str">
        <f>B6</f>
        <v>Florida</v>
      </c>
      <c r="C8" s="53">
        <f t="shared" si="0"/>
        <v>4</v>
      </c>
      <c r="D8" s="40">
        <f t="shared" si="0"/>
        <v>37</v>
      </c>
      <c r="E8" s="40">
        <f t="shared" si="0"/>
        <v>36</v>
      </c>
      <c r="F8" s="41">
        <f t="shared" si="0"/>
        <v>7</v>
      </c>
      <c r="G8" s="40">
        <f t="shared" si="0"/>
        <v>6</v>
      </c>
      <c r="H8" s="40">
        <f t="shared" si="0"/>
        <v>20</v>
      </c>
      <c r="I8" s="40">
        <f t="shared" si="0"/>
        <v>5</v>
      </c>
      <c r="J8" s="41">
        <f t="shared" si="0"/>
        <v>238</v>
      </c>
      <c r="K8" s="40">
        <f t="shared" si="0"/>
        <v>8</v>
      </c>
      <c r="L8" s="41">
        <f t="shared" si="0"/>
        <v>111</v>
      </c>
      <c r="M8" s="40">
        <f t="shared" si="0"/>
        <v>27</v>
      </c>
      <c r="N8" s="40">
        <f t="shared" si="0"/>
        <v>45</v>
      </c>
      <c r="S8" s="2"/>
      <c r="T8"/>
    </row>
    <row r="9" spans="1:20" x14ac:dyDescent="0.25">
      <c r="A9" s="45" t="s">
        <v>490</v>
      </c>
      <c r="B9" s="43" t="str">
        <f>B7</f>
        <v>Houston</v>
      </c>
      <c r="C9" s="53">
        <f t="shared" si="0"/>
        <v>3</v>
      </c>
      <c r="D9" s="40">
        <f t="shared" si="0"/>
        <v>89</v>
      </c>
      <c r="E9" s="40">
        <f t="shared" si="0"/>
        <v>141</v>
      </c>
      <c r="F9" s="41">
        <f t="shared" si="0"/>
        <v>4</v>
      </c>
      <c r="G9" s="40">
        <f t="shared" si="0"/>
        <v>23</v>
      </c>
      <c r="H9" s="40">
        <f t="shared" si="0"/>
        <v>1</v>
      </c>
      <c r="I9" s="40">
        <f t="shared" si="0"/>
        <v>6</v>
      </c>
      <c r="J9" s="41">
        <f t="shared" si="0"/>
        <v>12</v>
      </c>
      <c r="K9" s="40">
        <f t="shared" si="0"/>
        <v>11</v>
      </c>
      <c r="L9" s="41">
        <f t="shared" si="0"/>
        <v>59</v>
      </c>
      <c r="M9" s="40">
        <f t="shared" si="0"/>
        <v>91</v>
      </c>
      <c r="N9" s="40">
        <f t="shared" si="0"/>
        <v>6</v>
      </c>
      <c r="S9" s="2"/>
      <c r="T9"/>
    </row>
    <row r="11" spans="1:20" ht="15.75" thickBot="1" x14ac:dyDescent="0.3">
      <c r="B11" s="55" t="s">
        <v>412</v>
      </c>
      <c r="C11" s="55"/>
      <c r="D11" s="55"/>
      <c r="E11" s="55"/>
      <c r="F11" s="55"/>
      <c r="G11" s="55"/>
      <c r="H11" s="55"/>
      <c r="I11" s="1"/>
      <c r="J11" s="1"/>
      <c r="K11" s="9"/>
      <c r="L11" s="9"/>
      <c r="M11" s="1"/>
      <c r="N11" s="1"/>
    </row>
    <row r="12" spans="1:20" ht="16.5" thickTop="1" thickBot="1" x14ac:dyDescent="0.3">
      <c r="B12" s="4"/>
      <c r="C12" s="18" t="s">
        <v>410</v>
      </c>
      <c r="D12" s="29" t="s">
        <v>411</v>
      </c>
      <c r="E12" s="3" t="s">
        <v>295</v>
      </c>
      <c r="F12" s="3" t="s">
        <v>259</v>
      </c>
      <c r="G12" s="26" t="s">
        <v>261</v>
      </c>
      <c r="H12" s="3" t="s">
        <v>407</v>
      </c>
      <c r="I12" s="9"/>
      <c r="J12" s="9"/>
      <c r="K12" s="9"/>
      <c r="L12" s="9"/>
    </row>
    <row r="13" spans="1:20" x14ac:dyDescent="0.25">
      <c r="A13" s="45" t="s">
        <v>489</v>
      </c>
      <c r="B13" s="1" t="str">
        <f>B6</f>
        <v>Florida</v>
      </c>
      <c r="C13" s="10">
        <f t="shared" ref="C13:H16" si="1">INDEX(Data, MATCH($B13, Teams, 0), MATCH($A13&amp;C$2, Columns, 0))</f>
        <v>0.14699999999999999</v>
      </c>
      <c r="D13" s="27">
        <f t="shared" si="1"/>
        <v>0.16600000000000001</v>
      </c>
      <c r="E13" s="6">
        <f t="shared" si="1"/>
        <v>0.34799999999999998</v>
      </c>
      <c r="F13" s="6">
        <f t="shared" si="1"/>
        <v>0.35499999999999998</v>
      </c>
      <c r="G13" s="27">
        <f t="shared" si="1"/>
        <v>0.29599999999999999</v>
      </c>
      <c r="H13" s="13">
        <f t="shared" si="1"/>
        <v>72.5</v>
      </c>
      <c r="I13" s="12"/>
      <c r="J13" s="12"/>
      <c r="K13" s="12"/>
      <c r="L13" s="12"/>
    </row>
    <row r="14" spans="1:20" ht="15.75" thickBot="1" x14ac:dyDescent="0.3">
      <c r="A14" s="45" t="s">
        <v>489</v>
      </c>
      <c r="B14" s="16" t="str">
        <f>B7</f>
        <v>Houston</v>
      </c>
      <c r="C14" s="11">
        <f t="shared" si="1"/>
        <v>0.14199999999999999</v>
      </c>
      <c r="D14" s="28">
        <f t="shared" si="1"/>
        <v>0.21</v>
      </c>
      <c r="E14" s="7">
        <f t="shared" si="1"/>
        <v>0.32600000000000001</v>
      </c>
      <c r="F14" s="7">
        <f t="shared" si="1"/>
        <v>0.39800000000000002</v>
      </c>
      <c r="G14" s="28">
        <f t="shared" si="1"/>
        <v>0.309</v>
      </c>
      <c r="H14" s="14">
        <f t="shared" si="1"/>
        <v>65.599999999999994</v>
      </c>
      <c r="I14" s="12"/>
      <c r="J14" s="12"/>
      <c r="K14" s="12"/>
      <c r="L14" s="12"/>
    </row>
    <row r="15" spans="1:20" x14ac:dyDescent="0.25">
      <c r="A15" s="45" t="s">
        <v>490</v>
      </c>
      <c r="B15" s="42" t="str">
        <f>B6</f>
        <v>Florida</v>
      </c>
      <c r="C15" s="38">
        <f t="shared" si="1"/>
        <v>38</v>
      </c>
      <c r="D15" s="41">
        <f t="shared" si="1"/>
        <v>184</v>
      </c>
      <c r="E15" s="40">
        <f t="shared" si="1"/>
        <v>88</v>
      </c>
      <c r="F15" s="40">
        <f t="shared" si="1"/>
        <v>84</v>
      </c>
      <c r="G15" s="41">
        <f t="shared" si="1"/>
        <v>8</v>
      </c>
      <c r="H15" s="40">
        <f t="shared" si="1"/>
        <v>64</v>
      </c>
      <c r="I15" s="8"/>
      <c r="J15" s="8"/>
      <c r="K15" s="8"/>
      <c r="L15" s="8"/>
    </row>
    <row r="16" spans="1:20" x14ac:dyDescent="0.25">
      <c r="A16" s="45" t="s">
        <v>490</v>
      </c>
      <c r="B16" s="42" t="str">
        <f>B7</f>
        <v>Houston</v>
      </c>
      <c r="C16" s="38">
        <f t="shared" si="1"/>
        <v>22</v>
      </c>
      <c r="D16" s="41">
        <f t="shared" si="1"/>
        <v>19</v>
      </c>
      <c r="E16" s="40">
        <f t="shared" si="1"/>
        <v>146</v>
      </c>
      <c r="F16" s="40">
        <f t="shared" si="1"/>
        <v>4</v>
      </c>
      <c r="G16" s="41">
        <f t="shared" si="1"/>
        <v>35</v>
      </c>
      <c r="H16" s="40">
        <f t="shared" si="1"/>
        <v>357</v>
      </c>
      <c r="I16" s="8"/>
      <c r="J16" s="8"/>
      <c r="K16" s="8"/>
      <c r="L16" s="8"/>
    </row>
    <row r="18" spans="1:22" ht="15.75" thickBot="1" x14ac:dyDescent="0.3">
      <c r="B18" s="55" t="s">
        <v>403</v>
      </c>
      <c r="C18" s="55"/>
      <c r="D18" s="55"/>
      <c r="E18" s="55"/>
      <c r="F18" s="55"/>
      <c r="G18" s="55"/>
      <c r="H18" s="55"/>
      <c r="I18" s="55"/>
      <c r="J18" s="55"/>
      <c r="K18" s="1"/>
      <c r="S18" s="2"/>
      <c r="T18"/>
    </row>
    <row r="19" spans="1:22" ht="16.5" thickTop="1" thickBot="1" x14ac:dyDescent="0.3">
      <c r="B19" s="5"/>
      <c r="C19" s="15" t="s">
        <v>406</v>
      </c>
      <c r="D19" s="34" t="s">
        <v>405</v>
      </c>
      <c r="E19" s="3" t="s">
        <v>402</v>
      </c>
      <c r="F19" s="3" t="s">
        <v>517</v>
      </c>
      <c r="G19" s="26" t="s">
        <v>404</v>
      </c>
      <c r="H19" s="3" t="s">
        <v>514</v>
      </c>
      <c r="I19" s="3" t="s">
        <v>515</v>
      </c>
      <c r="J19" s="3" t="s">
        <v>299</v>
      </c>
      <c r="K19" s="9"/>
      <c r="M19" s="9"/>
      <c r="N19" s="9"/>
      <c r="T19"/>
      <c r="V19" s="2"/>
    </row>
    <row r="20" spans="1:22" x14ac:dyDescent="0.25">
      <c r="A20" s="45" t="s">
        <v>489</v>
      </c>
      <c r="B20" s="17" t="str">
        <f>B13</f>
        <v>Florida</v>
      </c>
      <c r="C20" s="13">
        <f t="shared" ref="C20:J23" si="2">INDEX(Data, MATCH($B20, Teams, 0), MATCH($A20&amp;C$3, Columns, 0))</f>
        <v>20.646000000000001</v>
      </c>
      <c r="D20" s="27">
        <f t="shared" si="2"/>
        <v>0.24399999999999999</v>
      </c>
      <c r="E20" s="13">
        <f t="shared" si="2"/>
        <v>14.3</v>
      </c>
      <c r="F20" s="13">
        <f t="shared" si="2"/>
        <v>5.9</v>
      </c>
      <c r="G20" s="48">
        <f t="shared" si="2"/>
        <v>29.1</v>
      </c>
      <c r="H20" s="13">
        <f t="shared" si="2"/>
        <v>2</v>
      </c>
      <c r="I20" s="13">
        <f t="shared" si="2"/>
        <v>10.9</v>
      </c>
      <c r="J20" s="6">
        <f t="shared" si="2"/>
        <v>0.5</v>
      </c>
      <c r="K20" s="12"/>
      <c r="M20" s="12"/>
      <c r="N20" s="12"/>
      <c r="T20"/>
      <c r="V20" s="2"/>
    </row>
    <row r="21" spans="1:22" ht="15.75" thickBot="1" x14ac:dyDescent="0.3">
      <c r="A21" s="45" t="s">
        <v>489</v>
      </c>
      <c r="B21" s="16" t="str">
        <f>B14</f>
        <v>Houston</v>
      </c>
      <c r="C21" s="23">
        <f t="shared" si="2"/>
        <v>18.687000000000001</v>
      </c>
      <c r="D21" s="28">
        <f t="shared" si="2"/>
        <v>0.24</v>
      </c>
      <c r="E21" s="14">
        <f t="shared" si="2"/>
        <v>14.3</v>
      </c>
      <c r="F21" s="14">
        <f t="shared" si="2"/>
        <v>11.7</v>
      </c>
      <c r="G21" s="49">
        <f t="shared" si="2"/>
        <v>20.8</v>
      </c>
      <c r="H21" s="14">
        <f t="shared" si="2"/>
        <v>1.2</v>
      </c>
      <c r="I21" s="14">
        <f t="shared" si="2"/>
        <v>9.3000000000000007</v>
      </c>
      <c r="J21" s="7">
        <f t="shared" si="2"/>
        <v>0.42899999999999999</v>
      </c>
      <c r="K21" s="12"/>
      <c r="M21" s="12"/>
      <c r="N21" s="12"/>
      <c r="T21"/>
      <c r="V21" s="2"/>
    </row>
    <row r="22" spans="1:22" x14ac:dyDescent="0.25">
      <c r="A22" s="45" t="s">
        <v>490</v>
      </c>
      <c r="B22" s="43" t="str">
        <f>B13</f>
        <v>Florida</v>
      </c>
      <c r="C22" s="40">
        <f t="shared" si="2"/>
        <v>125</v>
      </c>
      <c r="D22" s="41">
        <f t="shared" si="2"/>
        <v>186</v>
      </c>
      <c r="E22" s="44">
        <f t="shared" si="2"/>
        <v>6</v>
      </c>
      <c r="F22" s="44">
        <f t="shared" si="2"/>
        <v>35</v>
      </c>
      <c r="G22" s="39">
        <f t="shared" si="2"/>
        <v>1</v>
      </c>
      <c r="H22" s="44">
        <f t="shared" si="2"/>
        <v>49</v>
      </c>
      <c r="I22" s="44">
        <f t="shared" si="2"/>
        <v>248</v>
      </c>
      <c r="J22" s="40">
        <f t="shared" si="2"/>
        <v>158</v>
      </c>
      <c r="K22" s="8"/>
      <c r="M22" s="8"/>
      <c r="N22" s="8"/>
      <c r="T22"/>
      <c r="V22" s="2"/>
    </row>
    <row r="23" spans="1:22" x14ac:dyDescent="0.25">
      <c r="A23" s="45" t="s">
        <v>490</v>
      </c>
      <c r="B23" s="43" t="str">
        <f>B14</f>
        <v>Houston</v>
      </c>
      <c r="C23" s="40">
        <f t="shared" si="2"/>
        <v>236</v>
      </c>
      <c r="D23" s="41">
        <f t="shared" si="2"/>
        <v>165</v>
      </c>
      <c r="E23" s="44">
        <f t="shared" si="2"/>
        <v>5</v>
      </c>
      <c r="F23" s="44">
        <f t="shared" si="2"/>
        <v>6</v>
      </c>
      <c r="G23" s="39">
        <f t="shared" si="2"/>
        <v>12</v>
      </c>
      <c r="H23" s="44">
        <f t="shared" si="2"/>
        <v>96</v>
      </c>
      <c r="I23" s="44">
        <f t="shared" si="2"/>
        <v>70</v>
      </c>
      <c r="J23" s="40">
        <f t="shared" si="2"/>
        <v>239</v>
      </c>
      <c r="K23" s="8"/>
      <c r="M23" s="8"/>
      <c r="N23" s="8"/>
      <c r="T23"/>
      <c r="V23" s="2"/>
    </row>
    <row r="24" spans="1:22" x14ac:dyDescent="0.25">
      <c r="S24" s="2"/>
      <c r="T24"/>
    </row>
    <row r="26" spans="1:22" x14ac:dyDescent="0.25">
      <c r="B26" s="22" t="s">
        <v>400</v>
      </c>
    </row>
    <row r="27" spans="1:22" x14ac:dyDescent="0.25">
      <c r="B27" s="37" t="s">
        <v>401</v>
      </c>
    </row>
    <row r="28" spans="1:22" x14ac:dyDescent="0.25">
      <c r="B28" s="54" t="s">
        <v>614</v>
      </c>
    </row>
  </sheetData>
  <mergeCells count="3">
    <mergeCell ref="B11:H11"/>
    <mergeCell ref="B4:N4"/>
    <mergeCell ref="B18:J18"/>
  </mergeCells>
  <conditionalFormatting sqref="C15:H16 C22:J23 C8:N9">
    <cfRule type="colorScale" priority="7">
      <colorScale>
        <cfvo type="num" val="0"/>
        <cfvo type="num" val="182"/>
        <cfvo type="num" val="362"/>
        <color theme="9"/>
        <color rgb="FFFFEB84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AD23-31D4-434A-A6FE-7D96427F8A39}">
  <dimension ref="A1:BA365"/>
  <sheetViews>
    <sheetView workbookViewId="0"/>
  </sheetViews>
  <sheetFormatPr defaultRowHeight="15" x14ac:dyDescent="0.25"/>
  <cols>
    <col min="1" max="1" width="12.85546875" style="1" bestFit="1" customWidth="1"/>
    <col min="2" max="2" width="14.7109375" bestFit="1" customWidth="1"/>
    <col min="3" max="3" width="15.5703125" bestFit="1" customWidth="1"/>
    <col min="4" max="4" width="12.5703125" bestFit="1" customWidth="1"/>
    <col min="5" max="5" width="13.42578125" bestFit="1" customWidth="1"/>
    <col min="6" max="6" width="9" bestFit="1" customWidth="1"/>
    <col min="7" max="7" width="9.85546875" bestFit="1" customWidth="1"/>
    <col min="8" max="8" width="15.85546875" bestFit="1" customWidth="1"/>
    <col min="9" max="9" width="16.85546875" bestFit="1" customWidth="1"/>
    <col min="10" max="10" width="9.7109375" bestFit="1" customWidth="1"/>
    <col min="11" max="11" width="10.42578125" bestFit="1" customWidth="1"/>
    <col min="12" max="12" width="11.42578125" bestFit="1" customWidth="1"/>
    <col min="13" max="13" width="12.28515625" bestFit="1" customWidth="1"/>
    <col min="14" max="14" width="10" bestFit="1" customWidth="1"/>
    <col min="15" max="15" width="10.7109375" bestFit="1" customWidth="1"/>
    <col min="16" max="16" width="11.140625" bestFit="1" customWidth="1"/>
    <col min="17" max="17" width="11.85546875" bestFit="1" customWidth="1"/>
    <col min="18" max="18" width="17" bestFit="1" customWidth="1"/>
    <col min="19" max="19" width="17.85546875" bestFit="1" customWidth="1"/>
    <col min="20" max="20" width="12.5703125" bestFit="1" customWidth="1"/>
    <col min="21" max="21" width="13.42578125" bestFit="1" customWidth="1"/>
    <col min="22" max="22" width="13.85546875" bestFit="1" customWidth="1"/>
    <col min="23" max="23" width="14.5703125" bestFit="1" customWidth="1"/>
    <col min="24" max="24" width="9.5703125" bestFit="1" customWidth="1"/>
    <col min="25" max="25" width="10.42578125" bestFit="1" customWidth="1"/>
    <col min="26" max="26" width="9.5703125" bestFit="1" customWidth="1"/>
    <col min="27" max="27" width="10.42578125" bestFit="1" customWidth="1"/>
    <col min="28" max="28" width="11.85546875" bestFit="1" customWidth="1"/>
    <col min="29" max="29" width="12.85546875" bestFit="1" customWidth="1"/>
    <col min="30" max="30" width="17.5703125" bestFit="1" customWidth="1"/>
    <col min="31" max="31" width="16.7109375" bestFit="1" customWidth="1"/>
    <col min="32" max="32" width="13.140625" bestFit="1" customWidth="1"/>
    <col min="33" max="33" width="13.85546875" bestFit="1" customWidth="1"/>
    <col min="34" max="34" width="14.85546875" bestFit="1" customWidth="1"/>
    <col min="35" max="35" width="15.5703125" bestFit="1" customWidth="1"/>
    <col min="36" max="36" width="12.5703125" bestFit="1" customWidth="1"/>
    <col min="37" max="37" width="13.42578125" bestFit="1" customWidth="1"/>
    <col min="38" max="38" width="12.140625" bestFit="1" customWidth="1"/>
    <col min="39" max="39" width="12.85546875" bestFit="1" customWidth="1"/>
    <col min="40" max="40" width="11.42578125" bestFit="1" customWidth="1"/>
    <col min="41" max="41" width="12.140625" bestFit="1" customWidth="1"/>
    <col min="42" max="42" width="12.5703125" bestFit="1" customWidth="1"/>
    <col min="43" max="43" width="13.42578125" bestFit="1" customWidth="1"/>
    <col min="44" max="44" width="11.140625" bestFit="1" customWidth="1"/>
    <col min="45" max="45" width="11.85546875" bestFit="1" customWidth="1"/>
    <col min="46" max="46" width="11" bestFit="1" customWidth="1"/>
    <col min="47" max="47" width="11.7109375" bestFit="1" customWidth="1"/>
    <col min="48" max="48" width="11.42578125" bestFit="1" customWidth="1"/>
    <col min="49" max="49" width="12.28515625" bestFit="1" customWidth="1"/>
    <col min="50" max="50" width="12.5703125" bestFit="1" customWidth="1"/>
    <col min="51" max="51" width="13.42578125" bestFit="1" customWidth="1"/>
    <col min="52" max="52" width="13.5703125" bestFit="1" customWidth="1"/>
    <col min="53" max="53" width="14.42578125" bestFit="1" customWidth="1"/>
  </cols>
  <sheetData>
    <row r="1" spans="1:53" s="1" customFormat="1" x14ac:dyDescent="0.25">
      <c r="A1" s="1" t="s">
        <v>256</v>
      </c>
      <c r="B1" s="1" t="s">
        <v>413</v>
      </c>
      <c r="C1" s="1" t="s">
        <v>463</v>
      </c>
      <c r="D1" s="1" t="s">
        <v>414</v>
      </c>
      <c r="E1" s="1" t="s">
        <v>464</v>
      </c>
      <c r="F1" s="1" t="s">
        <v>415</v>
      </c>
      <c r="G1" s="1" t="s">
        <v>465</v>
      </c>
      <c r="H1" s="1" t="s">
        <v>416</v>
      </c>
      <c r="I1" s="1" t="s">
        <v>466</v>
      </c>
      <c r="J1" s="1" t="s">
        <v>417</v>
      </c>
      <c r="K1" s="1" t="s">
        <v>467</v>
      </c>
      <c r="L1" s="1" t="s">
        <v>418</v>
      </c>
      <c r="M1" s="1" t="s">
        <v>468</v>
      </c>
      <c r="N1" s="1" t="s">
        <v>419</v>
      </c>
      <c r="O1" s="1" t="s">
        <v>469</v>
      </c>
      <c r="P1" s="1" t="s">
        <v>420</v>
      </c>
      <c r="Q1" s="1" t="s">
        <v>470</v>
      </c>
      <c r="R1" s="1" t="s">
        <v>421</v>
      </c>
      <c r="S1" s="1" t="s">
        <v>471</v>
      </c>
      <c r="T1" s="1" t="s">
        <v>422</v>
      </c>
      <c r="U1" s="1" t="s">
        <v>472</v>
      </c>
      <c r="V1" s="1" t="s">
        <v>423</v>
      </c>
      <c r="W1" s="1" t="s">
        <v>473</v>
      </c>
      <c r="X1" s="1" t="s">
        <v>424</v>
      </c>
      <c r="Y1" s="1" t="s">
        <v>474</v>
      </c>
      <c r="Z1" s="1" t="s">
        <v>425</v>
      </c>
      <c r="AA1" s="1" t="s">
        <v>475</v>
      </c>
      <c r="AB1" s="1" t="s">
        <v>426</v>
      </c>
      <c r="AC1" s="1" t="s">
        <v>476</v>
      </c>
      <c r="AD1" s="1" t="s">
        <v>477</v>
      </c>
      <c r="AE1" s="1" t="s">
        <v>427</v>
      </c>
      <c r="AF1" s="1" t="s">
        <v>428</v>
      </c>
      <c r="AG1" s="1" t="s">
        <v>478</v>
      </c>
      <c r="AH1" s="1" t="s">
        <v>429</v>
      </c>
      <c r="AI1" s="1" t="s">
        <v>479</v>
      </c>
      <c r="AJ1" s="1" t="s">
        <v>430</v>
      </c>
      <c r="AK1" s="1" t="s">
        <v>480</v>
      </c>
      <c r="AL1" s="1" t="s">
        <v>431</v>
      </c>
      <c r="AM1" s="1" t="s">
        <v>481</v>
      </c>
      <c r="AN1" s="1" t="s">
        <v>432</v>
      </c>
      <c r="AO1" s="1" t="s">
        <v>482</v>
      </c>
      <c r="AP1" s="1" t="s">
        <v>433</v>
      </c>
      <c r="AQ1" s="1" t="s">
        <v>483</v>
      </c>
      <c r="AR1" s="1" t="s">
        <v>434</v>
      </c>
      <c r="AS1" s="1" t="s">
        <v>484</v>
      </c>
      <c r="AT1" s="1" t="s">
        <v>435</v>
      </c>
      <c r="AU1" s="1" t="s">
        <v>485</v>
      </c>
      <c r="AV1" s="1" t="s">
        <v>436</v>
      </c>
      <c r="AW1" s="1" t="s">
        <v>486</v>
      </c>
      <c r="AX1" s="1" t="s">
        <v>437</v>
      </c>
      <c r="AY1" s="1" t="s">
        <v>487</v>
      </c>
      <c r="AZ1" s="1" t="s">
        <v>438</v>
      </c>
      <c r="BA1" s="1" t="s">
        <v>488</v>
      </c>
    </row>
    <row r="2" spans="1:53" x14ac:dyDescent="0.25">
      <c r="A2" s="1" t="s">
        <v>13</v>
      </c>
      <c r="B2">
        <v>1</v>
      </c>
      <c r="C2">
        <v>27.2</v>
      </c>
      <c r="D2">
        <v>7</v>
      </c>
      <c r="E2">
        <v>23.2</v>
      </c>
      <c r="F2">
        <v>14</v>
      </c>
      <c r="G2">
        <v>12.9</v>
      </c>
      <c r="H2">
        <v>2</v>
      </c>
      <c r="I2">
        <v>14.7</v>
      </c>
      <c r="J2">
        <v>187</v>
      </c>
      <c r="K2">
        <v>-0.1</v>
      </c>
      <c r="L2">
        <v>247</v>
      </c>
      <c r="M2">
        <v>10.9</v>
      </c>
      <c r="N2">
        <v>4</v>
      </c>
      <c r="O2">
        <v>1.748</v>
      </c>
      <c r="P2">
        <v>71</v>
      </c>
      <c r="Q2">
        <v>0.97299999999999998</v>
      </c>
      <c r="R2">
        <v>279</v>
      </c>
      <c r="S2">
        <v>0.33300000000000002</v>
      </c>
      <c r="T2">
        <v>19</v>
      </c>
      <c r="U2">
        <v>1.0049999999999999</v>
      </c>
      <c r="V2">
        <v>92</v>
      </c>
      <c r="W2">
        <v>0.94099999999999995</v>
      </c>
      <c r="X2">
        <v>1</v>
      </c>
      <c r="Y2">
        <v>1.2110000000000001</v>
      </c>
      <c r="Z2">
        <v>3</v>
      </c>
      <c r="AA2">
        <v>0.90700000000000003</v>
      </c>
      <c r="AB2">
        <v>5</v>
      </c>
      <c r="AC2" s="21">
        <v>0.57399999999999995</v>
      </c>
      <c r="AD2" s="21">
        <v>0.56899999999999995</v>
      </c>
      <c r="AE2">
        <v>6</v>
      </c>
      <c r="AF2">
        <v>3</v>
      </c>
      <c r="AG2" s="21">
        <v>0.44500000000000001</v>
      </c>
      <c r="AH2">
        <v>78</v>
      </c>
      <c r="AI2">
        <v>21.794</v>
      </c>
      <c r="AJ2">
        <v>19</v>
      </c>
      <c r="AK2" s="21">
        <v>0.193</v>
      </c>
      <c r="AL2">
        <v>59</v>
      </c>
      <c r="AM2" s="21">
        <v>0.36699999999999999</v>
      </c>
      <c r="AN2">
        <v>20</v>
      </c>
      <c r="AO2" s="21">
        <v>0.377</v>
      </c>
      <c r="AP2">
        <v>34</v>
      </c>
      <c r="AQ2" s="21">
        <v>0.309</v>
      </c>
      <c r="AR2">
        <v>25</v>
      </c>
      <c r="AS2" s="21">
        <v>0.34100000000000003</v>
      </c>
      <c r="AT2">
        <v>19</v>
      </c>
      <c r="AU2" s="21">
        <v>0.77</v>
      </c>
      <c r="AV2">
        <v>277</v>
      </c>
      <c r="AW2">
        <v>68.3</v>
      </c>
      <c r="AX2">
        <v>20</v>
      </c>
      <c r="AY2" s="21">
        <v>0.14000000000000001</v>
      </c>
      <c r="AZ2">
        <v>140</v>
      </c>
      <c r="BA2" s="21">
        <v>0.17299999999999999</v>
      </c>
    </row>
    <row r="3" spans="1:53" x14ac:dyDescent="0.25">
      <c r="A3" s="1" t="s">
        <v>116</v>
      </c>
      <c r="B3">
        <v>2</v>
      </c>
      <c r="C3">
        <v>25.5</v>
      </c>
      <c r="D3">
        <v>2</v>
      </c>
      <c r="E3">
        <v>28.7</v>
      </c>
      <c r="F3">
        <v>1</v>
      </c>
      <c r="G3">
        <v>16.3</v>
      </c>
      <c r="H3">
        <v>1</v>
      </c>
      <c r="I3">
        <v>15.4</v>
      </c>
      <c r="J3">
        <v>85</v>
      </c>
      <c r="K3">
        <v>1.3</v>
      </c>
      <c r="L3">
        <v>108</v>
      </c>
      <c r="M3">
        <v>9.6</v>
      </c>
      <c r="N3">
        <v>3</v>
      </c>
      <c r="O3">
        <v>1.784</v>
      </c>
      <c r="P3">
        <v>8</v>
      </c>
      <c r="Q3">
        <v>0.78800000000000003</v>
      </c>
      <c r="R3">
        <v>18</v>
      </c>
      <c r="S3">
        <v>0.77800000000000002</v>
      </c>
      <c r="T3">
        <v>12</v>
      </c>
      <c r="U3">
        <v>1.0129999999999999</v>
      </c>
      <c r="V3">
        <v>178</v>
      </c>
      <c r="W3">
        <v>0.95599999999999996</v>
      </c>
      <c r="X3">
        <v>3</v>
      </c>
      <c r="Y3">
        <v>1.1819999999999999</v>
      </c>
      <c r="Z3">
        <v>53</v>
      </c>
      <c r="AA3">
        <v>0.98099999999999998</v>
      </c>
      <c r="AB3">
        <v>26</v>
      </c>
      <c r="AC3" s="21">
        <v>0.55700000000000005</v>
      </c>
      <c r="AD3" s="21">
        <v>0.55000000000000004</v>
      </c>
      <c r="AE3">
        <v>16</v>
      </c>
      <c r="AF3">
        <v>11</v>
      </c>
      <c r="AG3" s="21">
        <v>0.46</v>
      </c>
      <c r="AH3">
        <v>90</v>
      </c>
      <c r="AI3">
        <v>21.53</v>
      </c>
      <c r="AJ3">
        <v>326</v>
      </c>
      <c r="AK3" s="21">
        <v>0.28299999999999997</v>
      </c>
      <c r="AL3">
        <v>138</v>
      </c>
      <c r="AM3" s="21">
        <v>0.32900000000000001</v>
      </c>
      <c r="AN3">
        <v>40</v>
      </c>
      <c r="AO3" s="21">
        <v>0.36799999999999999</v>
      </c>
      <c r="AP3">
        <v>5</v>
      </c>
      <c r="AQ3" s="21">
        <v>0.29199999999999998</v>
      </c>
      <c r="AR3">
        <v>36</v>
      </c>
      <c r="AS3" s="21">
        <v>0.33300000000000002</v>
      </c>
      <c r="AT3">
        <v>155</v>
      </c>
      <c r="AU3" s="21">
        <v>0.72899999999999998</v>
      </c>
      <c r="AV3">
        <v>138</v>
      </c>
      <c r="AW3">
        <v>70.900000000000006</v>
      </c>
      <c r="AX3">
        <v>6</v>
      </c>
      <c r="AY3" s="21">
        <v>0.13</v>
      </c>
      <c r="AZ3">
        <v>164</v>
      </c>
      <c r="BA3" s="21">
        <v>0.17</v>
      </c>
    </row>
    <row r="4" spans="1:53" x14ac:dyDescent="0.25">
      <c r="A4" s="1" t="s">
        <v>28</v>
      </c>
      <c r="B4">
        <v>3</v>
      </c>
      <c r="C4">
        <v>25.1</v>
      </c>
      <c r="D4">
        <v>12</v>
      </c>
      <c r="E4">
        <v>20.8</v>
      </c>
      <c r="F4">
        <v>5</v>
      </c>
      <c r="G4">
        <v>14.3</v>
      </c>
      <c r="H4">
        <v>6</v>
      </c>
      <c r="I4">
        <v>11.7</v>
      </c>
      <c r="J4">
        <v>96</v>
      </c>
      <c r="K4">
        <v>1.2</v>
      </c>
      <c r="L4">
        <v>70</v>
      </c>
      <c r="M4">
        <v>9.3000000000000007</v>
      </c>
      <c r="N4">
        <v>91</v>
      </c>
      <c r="O4">
        <v>1.288</v>
      </c>
      <c r="P4">
        <v>6</v>
      </c>
      <c r="Q4">
        <v>0.78300000000000003</v>
      </c>
      <c r="R4">
        <v>239</v>
      </c>
      <c r="S4">
        <v>0.42899999999999999</v>
      </c>
      <c r="T4">
        <v>6</v>
      </c>
      <c r="U4">
        <v>1.022</v>
      </c>
      <c r="V4">
        <v>12</v>
      </c>
      <c r="W4">
        <v>0.90200000000000002</v>
      </c>
      <c r="X4">
        <v>23</v>
      </c>
      <c r="Y4">
        <v>1.131</v>
      </c>
      <c r="Z4">
        <v>1</v>
      </c>
      <c r="AA4">
        <v>0.89100000000000001</v>
      </c>
      <c r="AB4">
        <v>89</v>
      </c>
      <c r="AC4" s="21">
        <v>0.52700000000000002</v>
      </c>
      <c r="AD4" s="21">
        <v>0.502</v>
      </c>
      <c r="AE4">
        <v>141</v>
      </c>
      <c r="AF4">
        <v>4</v>
      </c>
      <c r="AG4" s="21">
        <v>0.44900000000000001</v>
      </c>
      <c r="AH4">
        <v>236</v>
      </c>
      <c r="AI4">
        <v>18.687000000000001</v>
      </c>
      <c r="AJ4">
        <v>165</v>
      </c>
      <c r="AK4" s="21">
        <v>0.24</v>
      </c>
      <c r="AL4">
        <v>146</v>
      </c>
      <c r="AM4" s="21">
        <v>0.32600000000000001</v>
      </c>
      <c r="AN4">
        <v>4</v>
      </c>
      <c r="AO4" s="21">
        <v>0.39800000000000002</v>
      </c>
      <c r="AP4">
        <v>35</v>
      </c>
      <c r="AQ4" s="21">
        <v>0.309</v>
      </c>
      <c r="AR4">
        <v>11</v>
      </c>
      <c r="AS4" s="21">
        <v>0.35699999999999998</v>
      </c>
      <c r="AT4">
        <v>59</v>
      </c>
      <c r="AU4" s="21">
        <v>0.749</v>
      </c>
      <c r="AV4">
        <v>357</v>
      </c>
      <c r="AW4">
        <v>65.599999999999994</v>
      </c>
      <c r="AX4">
        <v>22</v>
      </c>
      <c r="AY4" s="21">
        <v>0.14199999999999999</v>
      </c>
      <c r="AZ4">
        <v>19</v>
      </c>
      <c r="BA4" s="21">
        <v>0.21</v>
      </c>
    </row>
    <row r="5" spans="1:53" x14ac:dyDescent="0.25">
      <c r="A5" s="1" t="s">
        <v>131</v>
      </c>
      <c r="B5">
        <v>4</v>
      </c>
      <c r="C5">
        <v>24</v>
      </c>
      <c r="D5">
        <v>1</v>
      </c>
      <c r="E5">
        <v>29.1</v>
      </c>
      <c r="F5">
        <v>6</v>
      </c>
      <c r="G5">
        <v>14.3</v>
      </c>
      <c r="H5">
        <v>35</v>
      </c>
      <c r="I5">
        <v>5.9</v>
      </c>
      <c r="J5">
        <v>49</v>
      </c>
      <c r="K5">
        <v>2</v>
      </c>
      <c r="L5">
        <v>248</v>
      </c>
      <c r="M5">
        <v>10.9</v>
      </c>
      <c r="N5">
        <v>27</v>
      </c>
      <c r="O5">
        <v>1.4890000000000001</v>
      </c>
      <c r="P5">
        <v>45</v>
      </c>
      <c r="Q5">
        <v>0.92900000000000005</v>
      </c>
      <c r="R5">
        <v>158</v>
      </c>
      <c r="S5">
        <v>0.5</v>
      </c>
      <c r="T5">
        <v>5</v>
      </c>
      <c r="U5">
        <v>1.022</v>
      </c>
      <c r="V5">
        <v>238</v>
      </c>
      <c r="W5">
        <v>0.96599999999999997</v>
      </c>
      <c r="X5">
        <v>6</v>
      </c>
      <c r="Y5">
        <v>1.1779999999999999</v>
      </c>
      <c r="Z5">
        <v>20</v>
      </c>
      <c r="AA5">
        <v>0.95499999999999996</v>
      </c>
      <c r="AB5">
        <v>37</v>
      </c>
      <c r="AC5" s="21">
        <v>0.55000000000000004</v>
      </c>
      <c r="AD5" s="21">
        <v>0.53600000000000003</v>
      </c>
      <c r="AE5">
        <v>36</v>
      </c>
      <c r="AF5">
        <v>7</v>
      </c>
      <c r="AG5" s="21">
        <v>0.45300000000000001</v>
      </c>
      <c r="AH5">
        <v>125</v>
      </c>
      <c r="AI5">
        <v>20.646000000000001</v>
      </c>
      <c r="AJ5">
        <v>186</v>
      </c>
      <c r="AK5" s="21">
        <v>0.24399999999999999</v>
      </c>
      <c r="AL5">
        <v>88</v>
      </c>
      <c r="AM5" s="21">
        <v>0.34799999999999998</v>
      </c>
      <c r="AN5">
        <v>84</v>
      </c>
      <c r="AO5" s="21">
        <v>0.35499999999999998</v>
      </c>
      <c r="AP5">
        <v>8</v>
      </c>
      <c r="AQ5" s="21">
        <v>0.29599999999999999</v>
      </c>
      <c r="AR5">
        <v>8</v>
      </c>
      <c r="AS5" s="21">
        <v>0.36899999999999999</v>
      </c>
      <c r="AT5">
        <v>111</v>
      </c>
      <c r="AU5" s="21">
        <v>0.73699999999999999</v>
      </c>
      <c r="AV5">
        <v>64</v>
      </c>
      <c r="AW5">
        <v>72.5</v>
      </c>
      <c r="AX5">
        <v>38</v>
      </c>
      <c r="AY5" s="21">
        <v>0.14699999999999999</v>
      </c>
      <c r="AZ5">
        <v>184</v>
      </c>
      <c r="BA5" s="21">
        <v>0.16600000000000001</v>
      </c>
    </row>
    <row r="6" spans="1:53" x14ac:dyDescent="0.25">
      <c r="A6" s="1" t="s">
        <v>83</v>
      </c>
      <c r="B6">
        <v>5</v>
      </c>
      <c r="C6">
        <v>22.5</v>
      </c>
      <c r="D6">
        <v>9</v>
      </c>
      <c r="E6">
        <v>22.6</v>
      </c>
      <c r="F6">
        <v>2</v>
      </c>
      <c r="G6">
        <v>15.9</v>
      </c>
      <c r="H6">
        <v>3</v>
      </c>
      <c r="I6">
        <v>13</v>
      </c>
      <c r="J6">
        <v>134</v>
      </c>
      <c r="K6">
        <v>0.7</v>
      </c>
      <c r="L6">
        <v>346</v>
      </c>
      <c r="M6">
        <v>12.4</v>
      </c>
      <c r="N6">
        <v>77</v>
      </c>
      <c r="O6">
        <v>1.3149999999999999</v>
      </c>
      <c r="P6">
        <v>245</v>
      </c>
      <c r="Q6">
        <v>1.2190000000000001</v>
      </c>
      <c r="R6">
        <v>50</v>
      </c>
      <c r="S6">
        <v>0.66700000000000004</v>
      </c>
      <c r="T6">
        <v>80</v>
      </c>
      <c r="U6">
        <v>0.97699999999999998</v>
      </c>
      <c r="V6">
        <v>354</v>
      </c>
      <c r="W6">
        <v>0.999</v>
      </c>
      <c r="X6">
        <v>9</v>
      </c>
      <c r="Y6">
        <v>1.1559999999999999</v>
      </c>
      <c r="Z6">
        <v>171</v>
      </c>
      <c r="AA6">
        <v>1.0329999999999999</v>
      </c>
      <c r="AB6">
        <v>14</v>
      </c>
      <c r="AC6" s="21">
        <v>0.56399999999999995</v>
      </c>
      <c r="AD6" s="21">
        <v>0.56999999999999995</v>
      </c>
      <c r="AE6">
        <v>5</v>
      </c>
      <c r="AF6">
        <v>50</v>
      </c>
      <c r="AG6" s="21">
        <v>0.47899999999999998</v>
      </c>
      <c r="AH6">
        <v>28</v>
      </c>
      <c r="AI6">
        <v>23.492999999999999</v>
      </c>
      <c r="AJ6">
        <v>253</v>
      </c>
      <c r="AK6" s="21">
        <v>0.25900000000000001</v>
      </c>
      <c r="AL6">
        <v>103</v>
      </c>
      <c r="AM6" s="21">
        <v>0.34300000000000003</v>
      </c>
      <c r="AN6">
        <v>114</v>
      </c>
      <c r="AO6" s="21">
        <v>0.35</v>
      </c>
      <c r="AP6">
        <v>31</v>
      </c>
      <c r="AQ6" s="21">
        <v>0.308</v>
      </c>
      <c r="AR6">
        <v>46</v>
      </c>
      <c r="AS6" s="21">
        <v>0.32700000000000001</v>
      </c>
      <c r="AT6">
        <v>129</v>
      </c>
      <c r="AU6" s="21">
        <v>0.73299999999999998</v>
      </c>
      <c r="AV6">
        <v>1</v>
      </c>
      <c r="AW6">
        <v>78.8</v>
      </c>
      <c r="AX6">
        <v>143</v>
      </c>
      <c r="AY6" s="21">
        <v>0.16200000000000001</v>
      </c>
      <c r="AZ6">
        <v>349</v>
      </c>
      <c r="BA6" s="21">
        <v>0.13200000000000001</v>
      </c>
    </row>
    <row r="7" spans="1:53" x14ac:dyDescent="0.25">
      <c r="A7" s="1" t="s">
        <v>118</v>
      </c>
      <c r="B7">
        <v>6</v>
      </c>
      <c r="C7">
        <v>21.5</v>
      </c>
      <c r="D7">
        <v>4</v>
      </c>
      <c r="E7">
        <v>23.9</v>
      </c>
      <c r="F7">
        <v>4</v>
      </c>
      <c r="G7">
        <v>14.6</v>
      </c>
      <c r="H7">
        <v>19</v>
      </c>
      <c r="I7">
        <v>8.5</v>
      </c>
      <c r="J7">
        <v>65</v>
      </c>
      <c r="K7">
        <v>1.7</v>
      </c>
      <c r="L7">
        <v>144</v>
      </c>
      <c r="M7">
        <v>9.9</v>
      </c>
      <c r="N7">
        <v>30</v>
      </c>
      <c r="O7">
        <v>1.48</v>
      </c>
      <c r="P7">
        <v>24</v>
      </c>
      <c r="Q7">
        <v>0.86599999999999999</v>
      </c>
      <c r="R7">
        <v>93</v>
      </c>
      <c r="S7">
        <v>0.6</v>
      </c>
      <c r="T7">
        <v>42</v>
      </c>
      <c r="U7">
        <v>0.98899999999999999</v>
      </c>
      <c r="V7">
        <v>137</v>
      </c>
      <c r="W7">
        <v>0.95</v>
      </c>
      <c r="X7">
        <v>50</v>
      </c>
      <c r="Y7">
        <v>1.1060000000000001</v>
      </c>
      <c r="Z7">
        <v>9</v>
      </c>
      <c r="AA7">
        <v>0.93200000000000005</v>
      </c>
      <c r="AB7">
        <v>85</v>
      </c>
      <c r="AC7" s="21">
        <v>0.52800000000000002</v>
      </c>
      <c r="AD7" s="21">
        <v>0.50700000000000001</v>
      </c>
      <c r="AE7">
        <v>112</v>
      </c>
      <c r="AF7">
        <v>2</v>
      </c>
      <c r="AG7" s="21">
        <v>0.44400000000000001</v>
      </c>
      <c r="AH7">
        <v>65</v>
      </c>
      <c r="AI7">
        <v>22.059000000000001</v>
      </c>
      <c r="AJ7">
        <v>93</v>
      </c>
      <c r="AK7" s="21">
        <v>0.221</v>
      </c>
      <c r="AL7">
        <v>121</v>
      </c>
      <c r="AM7" s="21">
        <v>0.33300000000000002</v>
      </c>
      <c r="AN7">
        <v>166</v>
      </c>
      <c r="AO7" s="21">
        <v>0.34</v>
      </c>
      <c r="AP7">
        <v>1</v>
      </c>
      <c r="AQ7" s="21">
        <v>0.27800000000000002</v>
      </c>
      <c r="AR7">
        <v>32</v>
      </c>
      <c r="AS7" s="21">
        <v>0.33600000000000002</v>
      </c>
      <c r="AT7">
        <v>95</v>
      </c>
      <c r="AU7" s="21">
        <v>0.74</v>
      </c>
      <c r="AV7">
        <v>308</v>
      </c>
      <c r="AW7">
        <v>67.599999999999994</v>
      </c>
      <c r="AX7">
        <v>88</v>
      </c>
      <c r="AY7" s="21">
        <v>0.155</v>
      </c>
      <c r="AZ7">
        <v>139</v>
      </c>
      <c r="BA7" s="21">
        <v>0.17299999999999999</v>
      </c>
    </row>
    <row r="8" spans="1:53" x14ac:dyDescent="0.25">
      <c r="A8" s="1" t="s">
        <v>439</v>
      </c>
      <c r="B8">
        <v>7</v>
      </c>
      <c r="C8">
        <v>20.9</v>
      </c>
      <c r="D8">
        <v>6</v>
      </c>
      <c r="E8">
        <v>23.7</v>
      </c>
      <c r="F8">
        <v>13</v>
      </c>
      <c r="G8">
        <v>13</v>
      </c>
      <c r="H8">
        <v>17</v>
      </c>
      <c r="I8">
        <v>9.1</v>
      </c>
      <c r="J8">
        <v>286</v>
      </c>
      <c r="K8">
        <v>-1.6</v>
      </c>
      <c r="L8">
        <v>181</v>
      </c>
      <c r="M8">
        <v>10.3</v>
      </c>
      <c r="N8">
        <v>102</v>
      </c>
      <c r="O8">
        <v>1.262</v>
      </c>
      <c r="P8">
        <v>22</v>
      </c>
      <c r="Q8">
        <v>0.86</v>
      </c>
      <c r="R8">
        <v>251</v>
      </c>
      <c r="S8">
        <v>0.4</v>
      </c>
      <c r="T8">
        <v>171</v>
      </c>
      <c r="U8">
        <v>0.95799999999999996</v>
      </c>
      <c r="V8">
        <v>13</v>
      </c>
      <c r="W8">
        <v>0.90300000000000002</v>
      </c>
      <c r="X8">
        <v>40</v>
      </c>
      <c r="Y8">
        <v>1.115</v>
      </c>
      <c r="Z8">
        <v>15</v>
      </c>
      <c r="AA8">
        <v>0.94499999999999995</v>
      </c>
      <c r="AB8">
        <v>50</v>
      </c>
      <c r="AC8" s="21">
        <v>0.54600000000000004</v>
      </c>
      <c r="AD8" s="21">
        <v>0.52700000000000002</v>
      </c>
      <c r="AE8">
        <v>56</v>
      </c>
      <c r="AF8">
        <v>67</v>
      </c>
      <c r="AG8" s="21">
        <v>0.48399999999999999</v>
      </c>
      <c r="AH8">
        <v>27</v>
      </c>
      <c r="AI8">
        <v>23.51</v>
      </c>
      <c r="AJ8">
        <v>41</v>
      </c>
      <c r="AK8" s="21">
        <v>0.20599999999999999</v>
      </c>
      <c r="AL8">
        <v>260</v>
      </c>
      <c r="AM8" s="21">
        <v>0.28599999999999998</v>
      </c>
      <c r="AN8">
        <v>68</v>
      </c>
      <c r="AO8" s="21">
        <v>0.35799999999999998</v>
      </c>
      <c r="AP8">
        <v>134</v>
      </c>
      <c r="AQ8" s="21">
        <v>0.33200000000000002</v>
      </c>
      <c r="AR8">
        <v>106</v>
      </c>
      <c r="AS8" s="21">
        <v>0.30499999999999999</v>
      </c>
      <c r="AT8">
        <v>98</v>
      </c>
      <c r="AU8" s="21">
        <v>0.73899999999999999</v>
      </c>
      <c r="AV8">
        <v>81</v>
      </c>
      <c r="AW8">
        <v>72.099999999999994</v>
      </c>
      <c r="AX8">
        <v>164</v>
      </c>
      <c r="AY8" s="21">
        <v>0.16500000000000001</v>
      </c>
      <c r="AZ8">
        <v>12</v>
      </c>
      <c r="BA8" s="21">
        <v>0.214</v>
      </c>
    </row>
    <row r="9" spans="1:53" x14ac:dyDescent="0.25">
      <c r="A9" s="1" t="s">
        <v>57</v>
      </c>
      <c r="B9">
        <v>8</v>
      </c>
      <c r="C9">
        <v>20.5</v>
      </c>
      <c r="D9">
        <v>52</v>
      </c>
      <c r="E9">
        <v>12.2</v>
      </c>
      <c r="F9">
        <v>16</v>
      </c>
      <c r="G9">
        <v>12.5</v>
      </c>
      <c r="H9">
        <v>50</v>
      </c>
      <c r="I9">
        <v>3.9</v>
      </c>
      <c r="J9">
        <v>225</v>
      </c>
      <c r="K9">
        <v>-0.6</v>
      </c>
      <c r="L9">
        <v>278</v>
      </c>
      <c r="M9">
        <v>11.2</v>
      </c>
      <c r="N9">
        <v>6</v>
      </c>
      <c r="O9">
        <v>1.6659999999999999</v>
      </c>
      <c r="P9">
        <v>41</v>
      </c>
      <c r="Q9">
        <v>0.92500000000000004</v>
      </c>
      <c r="R9">
        <v>108</v>
      </c>
      <c r="S9">
        <v>0.58299999999999996</v>
      </c>
      <c r="T9">
        <v>29</v>
      </c>
      <c r="U9">
        <v>0.998</v>
      </c>
      <c r="V9">
        <v>165</v>
      </c>
      <c r="W9">
        <v>0.95399999999999996</v>
      </c>
      <c r="X9">
        <v>7</v>
      </c>
      <c r="Y9">
        <v>1.1719999999999999</v>
      </c>
      <c r="Z9">
        <v>49</v>
      </c>
      <c r="AA9">
        <v>0.97899999999999998</v>
      </c>
      <c r="AB9">
        <v>30</v>
      </c>
      <c r="AC9" s="21">
        <v>0.55500000000000005</v>
      </c>
      <c r="AD9" s="21">
        <v>0.54100000000000004</v>
      </c>
      <c r="AE9">
        <v>33</v>
      </c>
      <c r="AF9">
        <v>53</v>
      </c>
      <c r="AG9" s="21">
        <v>0.48</v>
      </c>
      <c r="AH9">
        <v>164</v>
      </c>
      <c r="AI9">
        <v>19.934000000000001</v>
      </c>
      <c r="AJ9">
        <v>191</v>
      </c>
      <c r="AK9" s="21">
        <v>0.245</v>
      </c>
      <c r="AL9">
        <v>41</v>
      </c>
      <c r="AM9" s="21">
        <v>0.38</v>
      </c>
      <c r="AN9">
        <v>19</v>
      </c>
      <c r="AO9" s="21">
        <v>0.379</v>
      </c>
      <c r="AP9">
        <v>62</v>
      </c>
      <c r="AQ9" s="21">
        <v>0.317</v>
      </c>
      <c r="AR9">
        <v>64</v>
      </c>
      <c r="AS9" s="21">
        <v>0.32200000000000001</v>
      </c>
      <c r="AT9">
        <v>143</v>
      </c>
      <c r="AU9" s="21">
        <v>0.73099999999999998</v>
      </c>
      <c r="AV9">
        <v>236</v>
      </c>
      <c r="AW9">
        <v>69</v>
      </c>
      <c r="AX9">
        <v>32</v>
      </c>
      <c r="AY9" s="21">
        <v>0.14399999999999999</v>
      </c>
      <c r="AZ9">
        <v>163</v>
      </c>
      <c r="BA9" s="21">
        <v>0.17</v>
      </c>
    </row>
    <row r="10" spans="1:53" x14ac:dyDescent="0.25">
      <c r="A10" s="1" t="s">
        <v>1</v>
      </c>
      <c r="B10">
        <v>9</v>
      </c>
      <c r="C10">
        <v>20.399999999999999</v>
      </c>
      <c r="D10">
        <v>18</v>
      </c>
      <c r="E10">
        <v>18.7</v>
      </c>
      <c r="F10">
        <v>58</v>
      </c>
      <c r="G10">
        <v>8.6999999999999993</v>
      </c>
      <c r="H10">
        <v>13</v>
      </c>
      <c r="I10">
        <v>10.6</v>
      </c>
      <c r="J10">
        <v>358</v>
      </c>
      <c r="K10">
        <v>-3.6</v>
      </c>
      <c r="L10">
        <v>354</v>
      </c>
      <c r="M10">
        <v>12.9</v>
      </c>
      <c r="N10">
        <v>1</v>
      </c>
      <c r="O10">
        <v>2.0840000000000001</v>
      </c>
      <c r="P10">
        <v>43</v>
      </c>
      <c r="Q10">
        <v>0.92800000000000005</v>
      </c>
      <c r="R10">
        <v>355</v>
      </c>
      <c r="S10">
        <v>0</v>
      </c>
      <c r="T10">
        <v>30</v>
      </c>
      <c r="U10">
        <v>0.998</v>
      </c>
      <c r="V10">
        <v>48</v>
      </c>
      <c r="W10">
        <v>0.92700000000000005</v>
      </c>
      <c r="X10">
        <v>4</v>
      </c>
      <c r="Y10">
        <v>1.181</v>
      </c>
      <c r="Z10">
        <v>17</v>
      </c>
      <c r="AA10">
        <v>0.95</v>
      </c>
      <c r="AB10">
        <v>25</v>
      </c>
      <c r="AC10" s="21">
        <v>0.55700000000000005</v>
      </c>
      <c r="AD10" s="21">
        <v>0.53500000000000003</v>
      </c>
      <c r="AE10">
        <v>39</v>
      </c>
      <c r="AF10">
        <v>39</v>
      </c>
      <c r="AG10" s="21">
        <v>0.47599999999999998</v>
      </c>
      <c r="AH10">
        <v>94</v>
      </c>
      <c r="AI10">
        <v>21.446000000000002</v>
      </c>
      <c r="AJ10">
        <v>58</v>
      </c>
      <c r="AK10" s="21">
        <v>0.21199999999999999</v>
      </c>
      <c r="AL10">
        <v>326</v>
      </c>
      <c r="AM10" s="21">
        <v>0.254</v>
      </c>
      <c r="AN10">
        <v>146</v>
      </c>
      <c r="AO10" s="21">
        <v>0.34399999999999997</v>
      </c>
      <c r="AP10">
        <v>15</v>
      </c>
      <c r="AQ10" s="21">
        <v>0.30199999999999999</v>
      </c>
      <c r="AR10">
        <v>107</v>
      </c>
      <c r="AS10" s="21">
        <v>0.30399999999999999</v>
      </c>
      <c r="AT10">
        <v>20</v>
      </c>
      <c r="AU10" s="21">
        <v>0.77</v>
      </c>
      <c r="AV10">
        <v>40</v>
      </c>
      <c r="AW10">
        <v>73.3</v>
      </c>
      <c r="AX10">
        <v>4</v>
      </c>
      <c r="AY10" s="21">
        <v>0.129</v>
      </c>
      <c r="AZ10">
        <v>112</v>
      </c>
      <c r="BA10" s="21">
        <v>0.17699999999999999</v>
      </c>
    </row>
    <row r="11" spans="1:53" x14ac:dyDescent="0.25">
      <c r="A11" s="1" t="s">
        <v>9</v>
      </c>
      <c r="B11">
        <v>10</v>
      </c>
      <c r="C11">
        <v>20.100000000000001</v>
      </c>
      <c r="D11">
        <v>16</v>
      </c>
      <c r="E11">
        <v>19.100000000000001</v>
      </c>
      <c r="F11">
        <v>3</v>
      </c>
      <c r="G11">
        <v>14.6</v>
      </c>
      <c r="H11">
        <v>11</v>
      </c>
      <c r="I11">
        <v>10.8</v>
      </c>
      <c r="J11">
        <v>299</v>
      </c>
      <c r="K11">
        <v>-1.8</v>
      </c>
      <c r="L11">
        <v>193</v>
      </c>
      <c r="M11">
        <v>10.4</v>
      </c>
      <c r="N11">
        <v>43</v>
      </c>
      <c r="O11">
        <v>1.421</v>
      </c>
      <c r="P11">
        <v>195</v>
      </c>
      <c r="Q11">
        <v>1.153</v>
      </c>
      <c r="R11">
        <v>343</v>
      </c>
      <c r="S11">
        <v>0.16700000000000001</v>
      </c>
      <c r="T11">
        <v>50</v>
      </c>
      <c r="U11">
        <v>0.98699999999999999</v>
      </c>
      <c r="V11">
        <v>202</v>
      </c>
      <c r="W11">
        <v>0.96</v>
      </c>
      <c r="X11">
        <v>28</v>
      </c>
      <c r="Y11">
        <v>1.1259999999999999</v>
      </c>
      <c r="Z11">
        <v>81</v>
      </c>
      <c r="AA11">
        <v>0.998</v>
      </c>
      <c r="AB11">
        <v>83</v>
      </c>
      <c r="AC11" s="21">
        <v>0.52900000000000003</v>
      </c>
      <c r="AD11" s="21">
        <v>0.501</v>
      </c>
      <c r="AE11">
        <v>148</v>
      </c>
      <c r="AF11">
        <v>74</v>
      </c>
      <c r="AG11" s="21">
        <v>0.48599999999999999</v>
      </c>
      <c r="AH11">
        <v>19</v>
      </c>
      <c r="AI11">
        <v>24.036000000000001</v>
      </c>
      <c r="AJ11">
        <v>92</v>
      </c>
      <c r="AK11" s="21">
        <v>0.22</v>
      </c>
      <c r="AL11">
        <v>331</v>
      </c>
      <c r="AM11" s="21">
        <v>0.25</v>
      </c>
      <c r="AN11">
        <v>247</v>
      </c>
      <c r="AO11" s="21">
        <v>0.32400000000000001</v>
      </c>
      <c r="AP11">
        <v>169</v>
      </c>
      <c r="AQ11" s="21">
        <v>0.33600000000000002</v>
      </c>
      <c r="AR11">
        <v>19</v>
      </c>
      <c r="AS11" s="21">
        <v>0.34599999999999997</v>
      </c>
      <c r="AT11">
        <v>84</v>
      </c>
      <c r="AU11" s="21">
        <v>0.74299999999999999</v>
      </c>
      <c r="AV11">
        <v>62</v>
      </c>
      <c r="AW11">
        <v>72.599999999999994</v>
      </c>
      <c r="AX11">
        <v>109</v>
      </c>
      <c r="AY11" s="21">
        <v>0.158</v>
      </c>
      <c r="AZ11">
        <v>214</v>
      </c>
      <c r="BA11" s="21">
        <v>0.16200000000000001</v>
      </c>
    </row>
    <row r="12" spans="1:53" x14ac:dyDescent="0.25">
      <c r="A12" s="1" t="s">
        <v>155</v>
      </c>
      <c r="B12">
        <v>11</v>
      </c>
      <c r="C12">
        <v>19.8</v>
      </c>
      <c r="D12">
        <v>3</v>
      </c>
      <c r="E12">
        <v>25.4</v>
      </c>
      <c r="F12">
        <v>24</v>
      </c>
      <c r="G12">
        <v>11.7</v>
      </c>
      <c r="H12">
        <v>62</v>
      </c>
      <c r="I12">
        <v>3.1</v>
      </c>
      <c r="J12">
        <v>237</v>
      </c>
      <c r="K12">
        <v>-0.8</v>
      </c>
      <c r="L12">
        <v>292</v>
      </c>
      <c r="M12">
        <v>11.3</v>
      </c>
      <c r="N12">
        <v>39</v>
      </c>
      <c r="O12">
        <v>1.4279999999999999</v>
      </c>
      <c r="P12">
        <v>18</v>
      </c>
      <c r="Q12">
        <v>0.84599999999999997</v>
      </c>
      <c r="R12">
        <v>271</v>
      </c>
      <c r="S12">
        <v>0.36399999999999999</v>
      </c>
      <c r="T12">
        <v>60</v>
      </c>
      <c r="U12">
        <v>0.98299999999999998</v>
      </c>
      <c r="V12">
        <v>26</v>
      </c>
      <c r="W12">
        <v>0.91800000000000004</v>
      </c>
      <c r="X12">
        <v>27</v>
      </c>
      <c r="Y12">
        <v>1.127</v>
      </c>
      <c r="Z12">
        <v>6</v>
      </c>
      <c r="AA12">
        <v>0.92400000000000004</v>
      </c>
      <c r="AB12">
        <v>59</v>
      </c>
      <c r="AC12" s="21">
        <v>0.53800000000000003</v>
      </c>
      <c r="AD12" s="21">
        <v>0.51300000000000001</v>
      </c>
      <c r="AE12">
        <v>90</v>
      </c>
      <c r="AF12">
        <v>27</v>
      </c>
      <c r="AG12" s="21">
        <v>0.47</v>
      </c>
      <c r="AH12">
        <v>108</v>
      </c>
      <c r="AI12">
        <v>21.155999999999999</v>
      </c>
      <c r="AJ12">
        <v>16</v>
      </c>
      <c r="AK12" s="21">
        <v>0.19</v>
      </c>
      <c r="AL12">
        <v>222</v>
      </c>
      <c r="AM12" s="21">
        <v>0.29899999999999999</v>
      </c>
      <c r="AN12">
        <v>29</v>
      </c>
      <c r="AO12" s="21">
        <v>0.372</v>
      </c>
      <c r="AP12">
        <v>26</v>
      </c>
      <c r="AQ12" s="21">
        <v>0.307</v>
      </c>
      <c r="AR12">
        <v>138</v>
      </c>
      <c r="AS12" s="21">
        <v>0.28899999999999998</v>
      </c>
      <c r="AT12">
        <v>69</v>
      </c>
      <c r="AU12" s="21">
        <v>0.747</v>
      </c>
      <c r="AV12">
        <v>65</v>
      </c>
      <c r="AW12">
        <v>72.5</v>
      </c>
      <c r="AX12">
        <v>24</v>
      </c>
      <c r="AY12" s="21">
        <v>0.14199999999999999</v>
      </c>
      <c r="AZ12">
        <v>39</v>
      </c>
      <c r="BA12" s="21">
        <v>0.19800000000000001</v>
      </c>
    </row>
    <row r="13" spans="1:53" x14ac:dyDescent="0.25">
      <c r="A13" s="1" t="s">
        <v>68</v>
      </c>
      <c r="B13">
        <v>12</v>
      </c>
      <c r="C13">
        <v>19.600000000000001</v>
      </c>
      <c r="D13">
        <v>29</v>
      </c>
      <c r="E13">
        <v>16.2</v>
      </c>
      <c r="F13">
        <v>18</v>
      </c>
      <c r="G13">
        <v>12.4</v>
      </c>
      <c r="H13">
        <v>26</v>
      </c>
      <c r="I13">
        <v>7.1</v>
      </c>
      <c r="J13">
        <v>45</v>
      </c>
      <c r="K13">
        <v>2.1</v>
      </c>
      <c r="L13">
        <v>115</v>
      </c>
      <c r="M13">
        <v>9.6999999999999993</v>
      </c>
      <c r="N13">
        <v>33</v>
      </c>
      <c r="O13">
        <v>1.4570000000000001</v>
      </c>
      <c r="P13">
        <v>159</v>
      </c>
      <c r="Q13">
        <v>1.093</v>
      </c>
      <c r="R13">
        <v>116</v>
      </c>
      <c r="S13">
        <v>0.57099999999999995</v>
      </c>
      <c r="T13">
        <v>59</v>
      </c>
      <c r="U13">
        <v>0.98299999999999998</v>
      </c>
      <c r="V13">
        <v>124</v>
      </c>
      <c r="W13">
        <v>0.94799999999999995</v>
      </c>
      <c r="X13">
        <v>56</v>
      </c>
      <c r="Y13">
        <v>1.1020000000000001</v>
      </c>
      <c r="Z13">
        <v>16</v>
      </c>
      <c r="AA13">
        <v>0.94799999999999995</v>
      </c>
      <c r="AB13">
        <v>151</v>
      </c>
      <c r="AC13" s="21">
        <v>0.51200000000000001</v>
      </c>
      <c r="AD13" s="21">
        <v>0.497</v>
      </c>
      <c r="AE13">
        <v>168</v>
      </c>
      <c r="AF13">
        <v>13</v>
      </c>
      <c r="AG13" s="21">
        <v>0.46100000000000002</v>
      </c>
      <c r="AH13">
        <v>11</v>
      </c>
      <c r="AI13">
        <v>24.692</v>
      </c>
      <c r="AJ13">
        <v>181</v>
      </c>
      <c r="AK13" s="21">
        <v>0.24299999999999999</v>
      </c>
      <c r="AL13">
        <v>356</v>
      </c>
      <c r="AM13" s="21">
        <v>0.22900000000000001</v>
      </c>
      <c r="AN13">
        <v>327</v>
      </c>
      <c r="AO13" s="21">
        <v>0.308</v>
      </c>
      <c r="AP13">
        <v>2</v>
      </c>
      <c r="AQ13" s="21">
        <v>0.27900000000000003</v>
      </c>
      <c r="AR13">
        <v>29</v>
      </c>
      <c r="AS13" s="21">
        <v>0.33700000000000002</v>
      </c>
      <c r="AT13">
        <v>12</v>
      </c>
      <c r="AU13" s="21">
        <v>0.77400000000000002</v>
      </c>
      <c r="AV13">
        <v>139</v>
      </c>
      <c r="AW13">
        <v>70.900000000000006</v>
      </c>
      <c r="AX13">
        <v>148</v>
      </c>
      <c r="AY13" s="21">
        <v>0.16300000000000001</v>
      </c>
      <c r="AZ13">
        <v>226</v>
      </c>
      <c r="BA13" s="21">
        <v>0.161</v>
      </c>
    </row>
    <row r="14" spans="1:53" x14ac:dyDescent="0.25">
      <c r="A14" s="1" t="s">
        <v>521</v>
      </c>
      <c r="B14">
        <v>13</v>
      </c>
      <c r="C14">
        <v>19.3</v>
      </c>
      <c r="D14">
        <v>5</v>
      </c>
      <c r="E14">
        <v>23.8</v>
      </c>
      <c r="F14">
        <v>39</v>
      </c>
      <c r="G14">
        <v>10.199999999999999</v>
      </c>
      <c r="H14">
        <v>33</v>
      </c>
      <c r="I14">
        <v>6.2</v>
      </c>
      <c r="J14">
        <v>24</v>
      </c>
      <c r="K14">
        <v>2.6</v>
      </c>
      <c r="L14">
        <v>35</v>
      </c>
      <c r="M14">
        <v>8.6</v>
      </c>
      <c r="N14">
        <v>41</v>
      </c>
      <c r="O14">
        <v>1.4259999999999999</v>
      </c>
      <c r="P14">
        <v>16</v>
      </c>
      <c r="Q14">
        <v>0.83199999999999996</v>
      </c>
      <c r="R14">
        <v>158</v>
      </c>
      <c r="S14">
        <v>0.5</v>
      </c>
      <c r="T14">
        <v>11</v>
      </c>
      <c r="U14">
        <v>1.014</v>
      </c>
      <c r="V14">
        <v>15</v>
      </c>
      <c r="W14">
        <v>0.90500000000000003</v>
      </c>
      <c r="X14">
        <v>106</v>
      </c>
      <c r="Y14">
        <v>1.069</v>
      </c>
      <c r="Z14">
        <v>2</v>
      </c>
      <c r="AA14">
        <v>0.89500000000000002</v>
      </c>
      <c r="AB14">
        <v>244</v>
      </c>
      <c r="AC14" s="21">
        <v>0.497</v>
      </c>
      <c r="AD14" s="21">
        <v>0.48799999999999999</v>
      </c>
      <c r="AE14">
        <v>216</v>
      </c>
      <c r="AF14">
        <v>19</v>
      </c>
      <c r="AG14" s="21">
        <v>0.46600000000000003</v>
      </c>
      <c r="AH14">
        <v>245</v>
      </c>
      <c r="AI14">
        <v>18.492999999999999</v>
      </c>
      <c r="AJ14">
        <v>68</v>
      </c>
      <c r="AK14" s="21">
        <v>0.214</v>
      </c>
      <c r="AL14">
        <v>355</v>
      </c>
      <c r="AM14" s="21">
        <v>0.23</v>
      </c>
      <c r="AN14">
        <v>338</v>
      </c>
      <c r="AO14" s="21">
        <v>0.30399999999999999</v>
      </c>
      <c r="AP14">
        <v>67</v>
      </c>
      <c r="AQ14" s="21">
        <v>0.318</v>
      </c>
      <c r="AR14">
        <v>13</v>
      </c>
      <c r="AS14" s="21">
        <v>0.35499999999999998</v>
      </c>
      <c r="AT14">
        <v>108</v>
      </c>
      <c r="AU14" s="21">
        <v>0.73799999999999999</v>
      </c>
      <c r="AV14">
        <v>32</v>
      </c>
      <c r="AW14">
        <v>73.599999999999994</v>
      </c>
      <c r="AX14">
        <v>56</v>
      </c>
      <c r="AY14" s="21">
        <v>0.151</v>
      </c>
      <c r="AZ14">
        <v>14</v>
      </c>
      <c r="BA14" s="21">
        <v>0.21199999999999999</v>
      </c>
    </row>
    <row r="15" spans="1:53" x14ac:dyDescent="0.25">
      <c r="A15" s="1" t="s">
        <v>21</v>
      </c>
      <c r="B15">
        <v>14</v>
      </c>
      <c r="C15">
        <v>18.2</v>
      </c>
      <c r="D15">
        <v>15</v>
      </c>
      <c r="E15">
        <v>20.100000000000001</v>
      </c>
      <c r="F15">
        <v>8</v>
      </c>
      <c r="G15">
        <v>13.7</v>
      </c>
      <c r="H15">
        <v>7</v>
      </c>
      <c r="I15">
        <v>11.5</v>
      </c>
      <c r="J15">
        <v>255</v>
      </c>
      <c r="K15">
        <v>-1</v>
      </c>
      <c r="L15">
        <v>231</v>
      </c>
      <c r="M15">
        <v>10.7</v>
      </c>
      <c r="N15">
        <v>21</v>
      </c>
      <c r="O15">
        <v>1.5129999999999999</v>
      </c>
      <c r="P15">
        <v>217</v>
      </c>
      <c r="Q15">
        <v>1.1830000000000001</v>
      </c>
      <c r="R15">
        <v>50</v>
      </c>
      <c r="S15">
        <v>0.66700000000000004</v>
      </c>
      <c r="T15">
        <v>151</v>
      </c>
      <c r="U15">
        <v>0.96099999999999997</v>
      </c>
      <c r="V15">
        <v>266</v>
      </c>
      <c r="W15">
        <v>0.97</v>
      </c>
      <c r="X15">
        <v>115</v>
      </c>
      <c r="Y15">
        <v>1.0640000000000001</v>
      </c>
      <c r="Z15">
        <v>30</v>
      </c>
      <c r="AA15">
        <v>0.96699999999999997</v>
      </c>
      <c r="AB15">
        <v>78</v>
      </c>
      <c r="AC15" s="21">
        <v>0.53100000000000003</v>
      </c>
      <c r="AD15" s="21">
        <v>0.49399999999999999</v>
      </c>
      <c r="AE15">
        <v>185</v>
      </c>
      <c r="AF15">
        <v>15</v>
      </c>
      <c r="AG15" s="21">
        <v>0.46200000000000002</v>
      </c>
      <c r="AH15">
        <v>351</v>
      </c>
      <c r="AI15">
        <v>14.89</v>
      </c>
      <c r="AJ15">
        <v>66</v>
      </c>
      <c r="AK15" s="21">
        <v>0.214</v>
      </c>
      <c r="AL15">
        <v>238</v>
      </c>
      <c r="AM15" s="21">
        <v>0.29199999999999998</v>
      </c>
      <c r="AN15">
        <v>102</v>
      </c>
      <c r="AO15" s="21">
        <v>0.35199999999999998</v>
      </c>
      <c r="AP15">
        <v>36</v>
      </c>
      <c r="AQ15" s="21">
        <v>0.309</v>
      </c>
      <c r="AR15">
        <v>174</v>
      </c>
      <c r="AS15" s="21">
        <v>0.28000000000000003</v>
      </c>
      <c r="AT15">
        <v>71</v>
      </c>
      <c r="AU15" s="21">
        <v>0.746</v>
      </c>
      <c r="AV15">
        <v>108</v>
      </c>
      <c r="AW15">
        <v>71.599999999999994</v>
      </c>
      <c r="AX15">
        <v>151</v>
      </c>
      <c r="AY15" s="21">
        <v>0.16300000000000001</v>
      </c>
      <c r="AZ15">
        <v>284</v>
      </c>
      <c r="BA15" s="21">
        <v>0.153</v>
      </c>
    </row>
    <row r="16" spans="1:53" x14ac:dyDescent="0.25">
      <c r="A16" s="1" t="s">
        <v>3</v>
      </c>
      <c r="B16">
        <v>15</v>
      </c>
      <c r="C16">
        <v>18.100000000000001</v>
      </c>
      <c r="D16">
        <v>65</v>
      </c>
      <c r="E16">
        <v>11.2</v>
      </c>
      <c r="F16">
        <v>11</v>
      </c>
      <c r="G16">
        <v>13.1</v>
      </c>
      <c r="H16">
        <v>5</v>
      </c>
      <c r="I16">
        <v>11.8</v>
      </c>
      <c r="J16">
        <v>213</v>
      </c>
      <c r="K16">
        <v>-0.5</v>
      </c>
      <c r="L16">
        <v>253</v>
      </c>
      <c r="M16">
        <v>10.9</v>
      </c>
      <c r="N16">
        <v>16</v>
      </c>
      <c r="O16">
        <v>1.5409999999999999</v>
      </c>
      <c r="P16">
        <v>265</v>
      </c>
      <c r="Q16">
        <v>1.2509999999999999</v>
      </c>
      <c r="R16">
        <v>116</v>
      </c>
      <c r="S16">
        <v>0.57099999999999995</v>
      </c>
      <c r="T16">
        <v>117</v>
      </c>
      <c r="U16">
        <v>0.96799999999999997</v>
      </c>
      <c r="V16">
        <v>163</v>
      </c>
      <c r="W16">
        <v>0.95399999999999996</v>
      </c>
      <c r="X16">
        <v>12</v>
      </c>
      <c r="Y16">
        <v>1.1499999999999999</v>
      </c>
      <c r="Z16">
        <v>209</v>
      </c>
      <c r="AA16">
        <v>1.0489999999999999</v>
      </c>
      <c r="AB16">
        <v>15</v>
      </c>
      <c r="AC16" s="21">
        <v>0.56299999999999994</v>
      </c>
      <c r="AD16" s="21">
        <v>0.52</v>
      </c>
      <c r="AE16">
        <v>68</v>
      </c>
      <c r="AF16">
        <v>242</v>
      </c>
      <c r="AG16" s="21">
        <v>0.52</v>
      </c>
      <c r="AH16">
        <v>110</v>
      </c>
      <c r="AI16">
        <v>21.068999999999999</v>
      </c>
      <c r="AJ16">
        <v>119</v>
      </c>
      <c r="AK16" s="21">
        <v>0.22700000000000001</v>
      </c>
      <c r="AL16">
        <v>166</v>
      </c>
      <c r="AM16" s="21">
        <v>0.31900000000000001</v>
      </c>
      <c r="AN16">
        <v>10</v>
      </c>
      <c r="AO16" s="21">
        <v>0.38500000000000001</v>
      </c>
      <c r="AP16">
        <v>27</v>
      </c>
      <c r="AQ16" s="21">
        <v>0.307</v>
      </c>
      <c r="AR16">
        <v>131</v>
      </c>
      <c r="AS16" s="21">
        <v>0.29199999999999998</v>
      </c>
      <c r="AT16">
        <v>244</v>
      </c>
      <c r="AU16" s="21">
        <v>0.71099999999999997</v>
      </c>
      <c r="AV16">
        <v>297</v>
      </c>
      <c r="AW16">
        <v>67.7</v>
      </c>
      <c r="AX16">
        <v>74</v>
      </c>
      <c r="AY16" s="21">
        <v>0.153</v>
      </c>
      <c r="AZ16">
        <v>123</v>
      </c>
      <c r="BA16" s="21">
        <v>0.17499999999999999</v>
      </c>
    </row>
    <row r="17" spans="1:53" x14ac:dyDescent="0.25">
      <c r="A17" s="1" t="s">
        <v>190</v>
      </c>
      <c r="B17">
        <v>16</v>
      </c>
      <c r="C17">
        <v>18</v>
      </c>
      <c r="D17">
        <v>13</v>
      </c>
      <c r="E17">
        <v>20.8</v>
      </c>
      <c r="F17">
        <v>17</v>
      </c>
      <c r="G17">
        <v>12.4</v>
      </c>
      <c r="H17">
        <v>24</v>
      </c>
      <c r="I17">
        <v>7.5</v>
      </c>
      <c r="J17">
        <v>77</v>
      </c>
      <c r="K17">
        <v>1.5</v>
      </c>
      <c r="L17">
        <v>249</v>
      </c>
      <c r="M17">
        <v>10.9</v>
      </c>
      <c r="N17">
        <v>24</v>
      </c>
      <c r="O17">
        <v>1.506</v>
      </c>
      <c r="P17">
        <v>257</v>
      </c>
      <c r="Q17">
        <v>1.24</v>
      </c>
      <c r="R17">
        <v>158</v>
      </c>
      <c r="S17">
        <v>0.5</v>
      </c>
      <c r="T17">
        <v>109</v>
      </c>
      <c r="U17">
        <v>0.96899999999999997</v>
      </c>
      <c r="V17">
        <v>304</v>
      </c>
      <c r="W17">
        <v>0.97799999999999998</v>
      </c>
      <c r="X17">
        <v>21</v>
      </c>
      <c r="Y17">
        <v>1.131</v>
      </c>
      <c r="Z17">
        <v>82</v>
      </c>
      <c r="AA17">
        <v>0.999</v>
      </c>
      <c r="AB17">
        <v>67</v>
      </c>
      <c r="AC17" s="21">
        <v>0.53600000000000003</v>
      </c>
      <c r="AD17" s="21">
        <v>0.52700000000000002</v>
      </c>
      <c r="AE17">
        <v>56</v>
      </c>
      <c r="AF17">
        <v>51</v>
      </c>
      <c r="AG17" s="21">
        <v>0.47899999999999998</v>
      </c>
      <c r="AH17">
        <v>33</v>
      </c>
      <c r="AI17">
        <v>23.388000000000002</v>
      </c>
      <c r="AJ17">
        <v>71</v>
      </c>
      <c r="AK17" s="21">
        <v>0.216</v>
      </c>
      <c r="AL17">
        <v>50</v>
      </c>
      <c r="AM17" s="21">
        <v>0.373</v>
      </c>
      <c r="AN17">
        <v>121</v>
      </c>
      <c r="AO17" s="21">
        <v>0.34899999999999998</v>
      </c>
      <c r="AP17">
        <v>124</v>
      </c>
      <c r="AQ17" s="21">
        <v>0.33</v>
      </c>
      <c r="AR17">
        <v>269</v>
      </c>
      <c r="AS17" s="21">
        <v>0.247</v>
      </c>
      <c r="AT17">
        <v>56</v>
      </c>
      <c r="AU17" s="21">
        <v>0.751</v>
      </c>
      <c r="AV17">
        <v>166</v>
      </c>
      <c r="AW17">
        <v>70.5</v>
      </c>
      <c r="AX17">
        <v>17</v>
      </c>
      <c r="AY17" s="21">
        <v>0.13800000000000001</v>
      </c>
      <c r="AZ17">
        <v>331</v>
      </c>
      <c r="BA17" s="21">
        <v>0.14199999999999999</v>
      </c>
    </row>
    <row r="18" spans="1:53" x14ac:dyDescent="0.25">
      <c r="A18" s="1" t="s">
        <v>37</v>
      </c>
      <c r="B18">
        <v>17</v>
      </c>
      <c r="C18">
        <v>17.8</v>
      </c>
      <c r="D18">
        <v>60</v>
      </c>
      <c r="E18">
        <v>11.5</v>
      </c>
      <c r="F18">
        <v>10</v>
      </c>
      <c r="G18">
        <v>13.3</v>
      </c>
      <c r="H18">
        <v>9</v>
      </c>
      <c r="I18">
        <v>10.9</v>
      </c>
      <c r="J18">
        <v>256</v>
      </c>
      <c r="K18">
        <v>-1</v>
      </c>
      <c r="L18">
        <v>364</v>
      </c>
      <c r="M18">
        <v>14.5</v>
      </c>
      <c r="N18">
        <v>86</v>
      </c>
      <c r="O18">
        <v>1.2969999999999999</v>
      </c>
      <c r="P18">
        <v>312</v>
      </c>
      <c r="Q18">
        <v>1.3740000000000001</v>
      </c>
      <c r="R18">
        <v>158</v>
      </c>
      <c r="S18">
        <v>0.5</v>
      </c>
      <c r="T18">
        <v>22</v>
      </c>
      <c r="U18">
        <v>1.0029999999999999</v>
      </c>
      <c r="V18">
        <v>337</v>
      </c>
      <c r="W18">
        <v>0.99099999999999999</v>
      </c>
      <c r="X18">
        <v>33</v>
      </c>
      <c r="Y18">
        <v>1.125</v>
      </c>
      <c r="Z18">
        <v>90</v>
      </c>
      <c r="AA18">
        <v>1.0009999999999999</v>
      </c>
      <c r="AB18">
        <v>104</v>
      </c>
      <c r="AC18" s="21">
        <v>0.52300000000000002</v>
      </c>
      <c r="AD18" s="21">
        <v>0.52100000000000002</v>
      </c>
      <c r="AE18">
        <v>62</v>
      </c>
      <c r="AF18">
        <v>32</v>
      </c>
      <c r="AG18" s="21">
        <v>0.47299999999999998</v>
      </c>
      <c r="AH18">
        <v>49</v>
      </c>
      <c r="AI18">
        <v>22.576000000000001</v>
      </c>
      <c r="AJ18">
        <v>56</v>
      </c>
      <c r="AK18" s="21">
        <v>0.21099999999999999</v>
      </c>
      <c r="AL18">
        <v>115</v>
      </c>
      <c r="AM18" s="21">
        <v>0.33500000000000002</v>
      </c>
      <c r="AN18">
        <v>316</v>
      </c>
      <c r="AO18" s="21">
        <v>0.311</v>
      </c>
      <c r="AP18">
        <v>142</v>
      </c>
      <c r="AQ18" s="21">
        <v>0.33300000000000002</v>
      </c>
      <c r="AR18">
        <v>14</v>
      </c>
      <c r="AS18" s="21">
        <v>0.35299999999999998</v>
      </c>
      <c r="AT18">
        <v>28</v>
      </c>
      <c r="AU18" s="21">
        <v>0.76400000000000001</v>
      </c>
      <c r="AV18">
        <v>15</v>
      </c>
      <c r="AW18">
        <v>74.5</v>
      </c>
      <c r="AX18">
        <v>89</v>
      </c>
      <c r="AY18" s="21">
        <v>0.155</v>
      </c>
      <c r="AZ18">
        <v>360</v>
      </c>
      <c r="BA18" s="21">
        <v>0.124</v>
      </c>
    </row>
    <row r="19" spans="1:53" x14ac:dyDescent="0.25">
      <c r="A19" s="1" t="s">
        <v>35</v>
      </c>
      <c r="B19">
        <v>18</v>
      </c>
      <c r="C19">
        <v>17.7</v>
      </c>
      <c r="D19">
        <v>59</v>
      </c>
      <c r="E19">
        <v>11.5</v>
      </c>
      <c r="F19">
        <v>7</v>
      </c>
      <c r="G19">
        <v>14.1</v>
      </c>
      <c r="H19">
        <v>14</v>
      </c>
      <c r="I19">
        <v>9.6</v>
      </c>
      <c r="J19">
        <v>105</v>
      </c>
      <c r="K19">
        <v>1.1000000000000001</v>
      </c>
      <c r="L19">
        <v>327</v>
      </c>
      <c r="M19">
        <v>11.9</v>
      </c>
      <c r="N19">
        <v>19</v>
      </c>
      <c r="O19">
        <v>1.5229999999999999</v>
      </c>
      <c r="P19">
        <v>266</v>
      </c>
      <c r="Q19">
        <v>1.252</v>
      </c>
      <c r="R19">
        <v>93</v>
      </c>
      <c r="S19">
        <v>0.6</v>
      </c>
      <c r="T19">
        <v>121</v>
      </c>
      <c r="U19">
        <v>0.96699999999999997</v>
      </c>
      <c r="V19">
        <v>295</v>
      </c>
      <c r="W19">
        <v>0.97599999999999998</v>
      </c>
      <c r="X19">
        <v>15</v>
      </c>
      <c r="Y19">
        <v>1.1459999999999999</v>
      </c>
      <c r="Z19">
        <v>201</v>
      </c>
      <c r="AA19">
        <v>1.046</v>
      </c>
      <c r="AB19">
        <v>20</v>
      </c>
      <c r="AC19" s="21">
        <v>0.56000000000000005</v>
      </c>
      <c r="AD19" s="21">
        <v>0.51300000000000001</v>
      </c>
      <c r="AE19">
        <v>90</v>
      </c>
      <c r="AF19">
        <v>156</v>
      </c>
      <c r="AG19" s="21">
        <v>0.504</v>
      </c>
      <c r="AH19">
        <v>72</v>
      </c>
      <c r="AI19">
        <v>21.902999999999999</v>
      </c>
      <c r="AJ19">
        <v>154</v>
      </c>
      <c r="AK19" s="21">
        <v>0.23699999999999999</v>
      </c>
      <c r="AL19">
        <v>111</v>
      </c>
      <c r="AM19" s="21">
        <v>0.33800000000000002</v>
      </c>
      <c r="AN19">
        <v>25</v>
      </c>
      <c r="AO19" s="21">
        <v>0.374</v>
      </c>
      <c r="AP19">
        <v>32</v>
      </c>
      <c r="AQ19" s="21">
        <v>0.308</v>
      </c>
      <c r="AR19">
        <v>209</v>
      </c>
      <c r="AS19" s="21">
        <v>0.27</v>
      </c>
      <c r="AT19">
        <v>40</v>
      </c>
      <c r="AU19" s="21">
        <v>0.755</v>
      </c>
      <c r="AV19">
        <v>18</v>
      </c>
      <c r="AW19">
        <v>74.400000000000006</v>
      </c>
      <c r="AX19">
        <v>46</v>
      </c>
      <c r="AY19" s="21">
        <v>0.14899999999999999</v>
      </c>
      <c r="AZ19">
        <v>340</v>
      </c>
      <c r="BA19" s="21">
        <v>0.13700000000000001</v>
      </c>
    </row>
    <row r="20" spans="1:53" x14ac:dyDescent="0.25">
      <c r="A20" s="1" t="s">
        <v>43</v>
      </c>
      <c r="B20">
        <v>19</v>
      </c>
      <c r="C20">
        <v>16.899999999999999</v>
      </c>
      <c r="D20">
        <v>23</v>
      </c>
      <c r="E20">
        <v>17.5</v>
      </c>
      <c r="F20">
        <v>9</v>
      </c>
      <c r="G20">
        <v>13.4</v>
      </c>
      <c r="H20">
        <v>12</v>
      </c>
      <c r="I20">
        <v>10.7</v>
      </c>
      <c r="J20">
        <v>301</v>
      </c>
      <c r="K20">
        <v>-1.8</v>
      </c>
      <c r="L20">
        <v>88</v>
      </c>
      <c r="M20">
        <v>9.4</v>
      </c>
      <c r="N20">
        <v>72</v>
      </c>
      <c r="O20">
        <v>1.3260000000000001</v>
      </c>
      <c r="P20">
        <v>204</v>
      </c>
      <c r="Q20">
        <v>1.165</v>
      </c>
      <c r="R20">
        <v>271</v>
      </c>
      <c r="S20">
        <v>0.36399999999999999</v>
      </c>
      <c r="T20">
        <v>27</v>
      </c>
      <c r="U20">
        <v>0.999</v>
      </c>
      <c r="V20">
        <v>126</v>
      </c>
      <c r="W20">
        <v>0.94799999999999995</v>
      </c>
      <c r="X20">
        <v>47</v>
      </c>
      <c r="Y20">
        <v>1.107</v>
      </c>
      <c r="Z20">
        <v>145</v>
      </c>
      <c r="AA20">
        <v>1.0209999999999999</v>
      </c>
      <c r="AB20">
        <v>136</v>
      </c>
      <c r="AC20" s="21">
        <v>0.51500000000000001</v>
      </c>
      <c r="AD20" s="21">
        <v>0.497</v>
      </c>
      <c r="AE20">
        <v>168</v>
      </c>
      <c r="AF20">
        <v>196</v>
      </c>
      <c r="AG20" s="21">
        <v>0.51200000000000001</v>
      </c>
      <c r="AH20">
        <v>145</v>
      </c>
      <c r="AI20">
        <v>20.292000000000002</v>
      </c>
      <c r="AJ20">
        <v>166</v>
      </c>
      <c r="AK20" s="21">
        <v>0.24</v>
      </c>
      <c r="AL20">
        <v>126</v>
      </c>
      <c r="AM20" s="21">
        <v>0.33200000000000002</v>
      </c>
      <c r="AN20">
        <v>130</v>
      </c>
      <c r="AO20" s="21">
        <v>0.34699999999999998</v>
      </c>
      <c r="AP20">
        <v>277</v>
      </c>
      <c r="AQ20" s="21">
        <v>0.35399999999999998</v>
      </c>
      <c r="AR20">
        <v>33</v>
      </c>
      <c r="AS20" s="21">
        <v>0.33500000000000002</v>
      </c>
      <c r="AT20">
        <v>272</v>
      </c>
      <c r="AU20" s="21">
        <v>0.70399999999999996</v>
      </c>
      <c r="AV20">
        <v>279</v>
      </c>
      <c r="AW20">
        <v>68.2</v>
      </c>
      <c r="AX20">
        <v>107</v>
      </c>
      <c r="AY20" s="21">
        <v>0.158</v>
      </c>
      <c r="AZ20">
        <v>83</v>
      </c>
      <c r="BA20" s="21">
        <v>0.184</v>
      </c>
    </row>
    <row r="21" spans="1:53" x14ac:dyDescent="0.25">
      <c r="A21" s="1" t="s">
        <v>89</v>
      </c>
      <c r="B21">
        <v>20</v>
      </c>
      <c r="C21">
        <v>16.899999999999999</v>
      </c>
      <c r="D21">
        <v>43</v>
      </c>
      <c r="E21">
        <v>13.6</v>
      </c>
      <c r="F21">
        <v>27</v>
      </c>
      <c r="G21">
        <v>11.6</v>
      </c>
      <c r="H21">
        <v>69</v>
      </c>
      <c r="I21">
        <v>2.5</v>
      </c>
      <c r="J21">
        <v>99</v>
      </c>
      <c r="K21">
        <v>1.2</v>
      </c>
      <c r="L21">
        <v>322</v>
      </c>
      <c r="M21">
        <v>11.7</v>
      </c>
      <c r="N21">
        <v>42</v>
      </c>
      <c r="O21">
        <v>1.423</v>
      </c>
      <c r="P21">
        <v>160</v>
      </c>
      <c r="Q21">
        <v>1.0940000000000001</v>
      </c>
      <c r="R21">
        <v>77</v>
      </c>
      <c r="S21">
        <v>0.625</v>
      </c>
      <c r="T21">
        <v>161</v>
      </c>
      <c r="U21">
        <v>0.95899999999999996</v>
      </c>
      <c r="V21">
        <v>86</v>
      </c>
      <c r="W21">
        <v>0.93799999999999994</v>
      </c>
      <c r="X21">
        <v>16</v>
      </c>
      <c r="Y21">
        <v>1.143</v>
      </c>
      <c r="Z21">
        <v>85</v>
      </c>
      <c r="AA21">
        <v>1</v>
      </c>
      <c r="AB21">
        <v>7</v>
      </c>
      <c r="AC21" s="21">
        <v>0.57199999999999995</v>
      </c>
      <c r="AD21" s="21">
        <v>0.54600000000000004</v>
      </c>
      <c r="AE21">
        <v>25</v>
      </c>
      <c r="AF21">
        <v>165</v>
      </c>
      <c r="AG21" s="21">
        <v>0.50600000000000001</v>
      </c>
      <c r="AH21">
        <v>267</v>
      </c>
      <c r="AI21">
        <v>17.919</v>
      </c>
      <c r="AJ21">
        <v>85</v>
      </c>
      <c r="AK21" s="21">
        <v>0.218</v>
      </c>
      <c r="AL21">
        <v>18</v>
      </c>
      <c r="AM21" s="21">
        <v>0.39600000000000002</v>
      </c>
      <c r="AN21">
        <v>33</v>
      </c>
      <c r="AO21" s="21">
        <v>0.371</v>
      </c>
      <c r="AP21">
        <v>243</v>
      </c>
      <c r="AQ21" s="21">
        <v>0.34799999999999998</v>
      </c>
      <c r="AR21">
        <v>79</v>
      </c>
      <c r="AS21" s="21">
        <v>0.316</v>
      </c>
      <c r="AT21">
        <v>31</v>
      </c>
      <c r="AU21" s="21">
        <v>0.76300000000000001</v>
      </c>
      <c r="AV21">
        <v>144</v>
      </c>
      <c r="AW21">
        <v>70.900000000000006</v>
      </c>
      <c r="AX21">
        <v>205</v>
      </c>
      <c r="AY21" s="21">
        <v>0.17100000000000001</v>
      </c>
      <c r="AZ21">
        <v>176</v>
      </c>
      <c r="BA21" s="21">
        <v>0.16800000000000001</v>
      </c>
    </row>
    <row r="22" spans="1:53" x14ac:dyDescent="0.25">
      <c r="A22" s="1" t="s">
        <v>52</v>
      </c>
      <c r="B22">
        <v>21</v>
      </c>
      <c r="C22">
        <v>16.8</v>
      </c>
      <c r="D22">
        <v>38</v>
      </c>
      <c r="E22">
        <v>14.6</v>
      </c>
      <c r="F22">
        <v>25</v>
      </c>
      <c r="G22">
        <v>11.6</v>
      </c>
      <c r="H22">
        <v>10</v>
      </c>
      <c r="I22">
        <v>10.9</v>
      </c>
      <c r="J22">
        <v>167</v>
      </c>
      <c r="K22">
        <v>0.2</v>
      </c>
      <c r="L22">
        <v>96</v>
      </c>
      <c r="M22">
        <v>9.5</v>
      </c>
      <c r="N22">
        <v>28</v>
      </c>
      <c r="O22">
        <v>1.4870000000000001</v>
      </c>
      <c r="P22">
        <v>97</v>
      </c>
      <c r="Q22">
        <v>0.998</v>
      </c>
      <c r="R22">
        <v>50</v>
      </c>
      <c r="S22">
        <v>0.66700000000000004</v>
      </c>
      <c r="T22">
        <v>26</v>
      </c>
      <c r="U22">
        <v>0.999</v>
      </c>
      <c r="V22">
        <v>19</v>
      </c>
      <c r="W22">
        <v>0.91300000000000003</v>
      </c>
      <c r="X22">
        <v>69</v>
      </c>
      <c r="Y22">
        <v>1.0920000000000001</v>
      </c>
      <c r="Z22">
        <v>37</v>
      </c>
      <c r="AA22">
        <v>0.97299999999999998</v>
      </c>
      <c r="AB22">
        <v>114</v>
      </c>
      <c r="AC22" s="21">
        <v>0.52100000000000002</v>
      </c>
      <c r="AD22" s="21">
        <v>0.51700000000000002</v>
      </c>
      <c r="AE22">
        <v>76</v>
      </c>
      <c r="AF22">
        <v>127</v>
      </c>
      <c r="AG22" s="21">
        <v>0.499</v>
      </c>
      <c r="AH22">
        <v>314</v>
      </c>
      <c r="AI22">
        <v>16.736999999999998</v>
      </c>
      <c r="AJ22">
        <v>69</v>
      </c>
      <c r="AK22" s="21">
        <v>0.215</v>
      </c>
      <c r="AL22">
        <v>60</v>
      </c>
      <c r="AM22" s="21">
        <v>0.36699999999999999</v>
      </c>
      <c r="AN22">
        <v>245</v>
      </c>
      <c r="AO22" s="21">
        <v>0.32500000000000001</v>
      </c>
      <c r="AP22">
        <v>64</v>
      </c>
      <c r="AQ22" s="21">
        <v>0.318</v>
      </c>
      <c r="AR22">
        <v>172</v>
      </c>
      <c r="AS22" s="21">
        <v>0.28100000000000003</v>
      </c>
      <c r="AT22">
        <v>215</v>
      </c>
      <c r="AU22" s="21">
        <v>0.71699999999999997</v>
      </c>
      <c r="AV22">
        <v>169</v>
      </c>
      <c r="AW22">
        <v>70.400000000000006</v>
      </c>
      <c r="AX22">
        <v>8</v>
      </c>
      <c r="AY22" s="21">
        <v>0.13200000000000001</v>
      </c>
      <c r="AZ22">
        <v>20</v>
      </c>
      <c r="BA22" s="21">
        <v>0.21</v>
      </c>
    </row>
    <row r="23" spans="1:53" x14ac:dyDescent="0.25">
      <c r="A23" s="1" t="s">
        <v>135</v>
      </c>
      <c r="B23">
        <v>22</v>
      </c>
      <c r="C23">
        <v>16.8</v>
      </c>
      <c r="D23">
        <v>35</v>
      </c>
      <c r="E23">
        <v>15.5</v>
      </c>
      <c r="F23">
        <v>12</v>
      </c>
      <c r="G23">
        <v>13.1</v>
      </c>
      <c r="H23">
        <v>15</v>
      </c>
      <c r="I23">
        <v>9.5</v>
      </c>
      <c r="J23">
        <v>73</v>
      </c>
      <c r="K23">
        <v>1.6</v>
      </c>
      <c r="L23">
        <v>9</v>
      </c>
      <c r="M23">
        <v>7.9</v>
      </c>
      <c r="N23">
        <v>282</v>
      </c>
      <c r="O23">
        <v>0.96499999999999997</v>
      </c>
      <c r="P23">
        <v>144</v>
      </c>
      <c r="Q23">
        <v>1.0720000000000001</v>
      </c>
      <c r="R23">
        <v>50</v>
      </c>
      <c r="S23">
        <v>0.66700000000000004</v>
      </c>
      <c r="T23">
        <v>8</v>
      </c>
      <c r="U23">
        <v>1.018</v>
      </c>
      <c r="V23">
        <v>30</v>
      </c>
      <c r="W23">
        <v>0.92</v>
      </c>
      <c r="X23">
        <v>128</v>
      </c>
      <c r="Y23">
        <v>1.0580000000000001</v>
      </c>
      <c r="Z23">
        <v>31</v>
      </c>
      <c r="AA23">
        <v>0.96799999999999997</v>
      </c>
      <c r="AB23">
        <v>317</v>
      </c>
      <c r="AC23" s="21">
        <v>0.47499999999999998</v>
      </c>
      <c r="AD23" s="21">
        <v>0.46100000000000002</v>
      </c>
      <c r="AE23">
        <v>320</v>
      </c>
      <c r="AF23">
        <v>58</v>
      </c>
      <c r="AG23" s="21">
        <v>0.48199999999999998</v>
      </c>
      <c r="AH23">
        <v>10</v>
      </c>
      <c r="AI23">
        <v>24.747</v>
      </c>
      <c r="AJ23">
        <v>213</v>
      </c>
      <c r="AK23" s="21">
        <v>0.249</v>
      </c>
      <c r="AL23">
        <v>269</v>
      </c>
      <c r="AM23" s="21">
        <v>0.28299999999999997</v>
      </c>
      <c r="AN23">
        <v>317</v>
      </c>
      <c r="AO23" s="21">
        <v>0.311</v>
      </c>
      <c r="AP23">
        <v>154</v>
      </c>
      <c r="AQ23" s="21">
        <v>0.33400000000000002</v>
      </c>
      <c r="AR23">
        <v>1</v>
      </c>
      <c r="AS23" s="21">
        <v>0.40200000000000002</v>
      </c>
      <c r="AT23">
        <v>61</v>
      </c>
      <c r="AU23" s="21">
        <v>0.749</v>
      </c>
      <c r="AV23">
        <v>186</v>
      </c>
      <c r="AW23">
        <v>70.2</v>
      </c>
      <c r="AX23">
        <v>236</v>
      </c>
      <c r="AY23" s="21">
        <v>0.17599999999999999</v>
      </c>
      <c r="AZ23">
        <v>59</v>
      </c>
      <c r="BA23" s="21">
        <v>0.191</v>
      </c>
    </row>
    <row r="24" spans="1:53" x14ac:dyDescent="0.25">
      <c r="A24" s="1" t="s">
        <v>58</v>
      </c>
      <c r="B24">
        <v>23</v>
      </c>
      <c r="C24">
        <v>16.7</v>
      </c>
      <c r="D24">
        <v>14</v>
      </c>
      <c r="E24">
        <v>20.6</v>
      </c>
      <c r="F24">
        <v>19</v>
      </c>
      <c r="G24">
        <v>12.4</v>
      </c>
      <c r="H24">
        <v>31</v>
      </c>
      <c r="I24">
        <v>6.2</v>
      </c>
      <c r="J24">
        <v>26</v>
      </c>
      <c r="K24">
        <v>2.6</v>
      </c>
      <c r="L24">
        <v>323</v>
      </c>
      <c r="M24">
        <v>11.7</v>
      </c>
      <c r="N24">
        <v>169</v>
      </c>
      <c r="O24">
        <v>1.1459999999999999</v>
      </c>
      <c r="P24">
        <v>98</v>
      </c>
      <c r="Q24">
        <v>1</v>
      </c>
      <c r="R24">
        <v>27</v>
      </c>
      <c r="S24">
        <v>0.75</v>
      </c>
      <c r="T24">
        <v>286</v>
      </c>
      <c r="U24">
        <v>0.93200000000000005</v>
      </c>
      <c r="V24">
        <v>287</v>
      </c>
      <c r="W24">
        <v>0.97399999999999998</v>
      </c>
      <c r="X24">
        <v>97</v>
      </c>
      <c r="Y24">
        <v>1.0720000000000001</v>
      </c>
      <c r="Z24">
        <v>41</v>
      </c>
      <c r="AA24">
        <v>0.97499999999999998</v>
      </c>
      <c r="AB24">
        <v>51</v>
      </c>
      <c r="AC24" s="21">
        <v>0.54500000000000004</v>
      </c>
      <c r="AD24" s="21">
        <v>0.51700000000000002</v>
      </c>
      <c r="AE24">
        <v>76</v>
      </c>
      <c r="AF24">
        <v>17</v>
      </c>
      <c r="AG24" s="21">
        <v>0.46300000000000002</v>
      </c>
      <c r="AH24">
        <v>144</v>
      </c>
      <c r="AI24">
        <v>20.295999999999999</v>
      </c>
      <c r="AJ24">
        <v>76</v>
      </c>
      <c r="AK24" s="21">
        <v>0.217</v>
      </c>
      <c r="AL24">
        <v>177</v>
      </c>
      <c r="AM24" s="21">
        <v>0.317</v>
      </c>
      <c r="AN24">
        <v>195</v>
      </c>
      <c r="AO24" s="21">
        <v>0.33400000000000002</v>
      </c>
      <c r="AP24">
        <v>48</v>
      </c>
      <c r="AQ24" s="21">
        <v>0.313</v>
      </c>
      <c r="AR24">
        <v>85</v>
      </c>
      <c r="AS24" s="21">
        <v>0.312</v>
      </c>
      <c r="AT24">
        <v>137</v>
      </c>
      <c r="AU24" s="21">
        <v>0.73199999999999998</v>
      </c>
      <c r="AV24">
        <v>43</v>
      </c>
      <c r="AW24">
        <v>73</v>
      </c>
      <c r="AX24">
        <v>328</v>
      </c>
      <c r="AY24" s="21">
        <v>0.193</v>
      </c>
      <c r="AZ24">
        <v>269</v>
      </c>
      <c r="BA24" s="21">
        <v>0.155</v>
      </c>
    </row>
    <row r="25" spans="1:53" x14ac:dyDescent="0.25">
      <c r="A25" s="1" t="s">
        <v>522</v>
      </c>
      <c r="B25">
        <v>24</v>
      </c>
      <c r="C25">
        <v>16.7</v>
      </c>
      <c r="D25">
        <v>56</v>
      </c>
      <c r="E25">
        <v>11.8</v>
      </c>
      <c r="F25">
        <v>37</v>
      </c>
      <c r="G25">
        <v>10.5</v>
      </c>
      <c r="H25">
        <v>23</v>
      </c>
      <c r="I25">
        <v>8.1</v>
      </c>
      <c r="J25">
        <v>236</v>
      </c>
      <c r="K25">
        <v>-0.8</v>
      </c>
      <c r="L25">
        <v>72</v>
      </c>
      <c r="M25">
        <v>9.3000000000000007</v>
      </c>
      <c r="N25">
        <v>14</v>
      </c>
      <c r="O25">
        <v>1.5680000000000001</v>
      </c>
      <c r="P25">
        <v>94</v>
      </c>
      <c r="Q25">
        <v>0.997</v>
      </c>
      <c r="R25">
        <v>158</v>
      </c>
      <c r="S25">
        <v>0.5</v>
      </c>
      <c r="T25">
        <v>76</v>
      </c>
      <c r="U25">
        <v>0.97699999999999998</v>
      </c>
      <c r="V25">
        <v>158</v>
      </c>
      <c r="W25">
        <v>0.95399999999999996</v>
      </c>
      <c r="X25">
        <v>11</v>
      </c>
      <c r="Y25">
        <v>1.1499999999999999</v>
      </c>
      <c r="Z25">
        <v>108</v>
      </c>
      <c r="AA25">
        <v>1.0109999999999999</v>
      </c>
      <c r="AB25">
        <v>27</v>
      </c>
      <c r="AC25" s="21">
        <v>0.55500000000000005</v>
      </c>
      <c r="AD25" s="21">
        <v>0.55100000000000005</v>
      </c>
      <c r="AE25">
        <v>13</v>
      </c>
      <c r="AF25">
        <v>59</v>
      </c>
      <c r="AG25" s="21">
        <v>0.48299999999999998</v>
      </c>
      <c r="AH25">
        <v>130</v>
      </c>
      <c r="AI25">
        <v>20.582000000000001</v>
      </c>
      <c r="AJ25">
        <v>341</v>
      </c>
      <c r="AK25" s="21">
        <v>0.29099999999999998</v>
      </c>
      <c r="AL25">
        <v>116</v>
      </c>
      <c r="AM25" s="21">
        <v>0.33500000000000002</v>
      </c>
      <c r="AN25">
        <v>88</v>
      </c>
      <c r="AO25" s="21">
        <v>0.35399999999999998</v>
      </c>
      <c r="AP25">
        <v>257</v>
      </c>
      <c r="AQ25" s="21">
        <v>0.35099999999999998</v>
      </c>
      <c r="AR25">
        <v>18</v>
      </c>
      <c r="AS25" s="21">
        <v>0.34599999999999997</v>
      </c>
      <c r="AT25">
        <v>22</v>
      </c>
      <c r="AU25" s="21">
        <v>0.76700000000000002</v>
      </c>
      <c r="AV25">
        <v>320</v>
      </c>
      <c r="AW25">
        <v>67.3</v>
      </c>
      <c r="AX25">
        <v>175</v>
      </c>
      <c r="AY25" s="21">
        <v>0.16700000000000001</v>
      </c>
      <c r="AZ25">
        <v>297</v>
      </c>
      <c r="BA25" s="21">
        <v>0.151</v>
      </c>
    </row>
    <row r="26" spans="1:53" x14ac:dyDescent="0.25">
      <c r="A26" s="1" t="s">
        <v>55</v>
      </c>
      <c r="B26">
        <v>25</v>
      </c>
      <c r="C26">
        <v>16.600000000000001</v>
      </c>
      <c r="D26">
        <v>22</v>
      </c>
      <c r="E26">
        <v>18.100000000000001</v>
      </c>
      <c r="F26">
        <v>54</v>
      </c>
      <c r="G26">
        <v>8.9</v>
      </c>
      <c r="H26">
        <v>27</v>
      </c>
      <c r="I26">
        <v>7</v>
      </c>
      <c r="J26">
        <v>67</v>
      </c>
      <c r="K26">
        <v>1.7</v>
      </c>
      <c r="L26">
        <v>16</v>
      </c>
      <c r="M26">
        <v>8.1</v>
      </c>
      <c r="N26">
        <v>55</v>
      </c>
      <c r="O26">
        <v>1.377</v>
      </c>
      <c r="P26">
        <v>7</v>
      </c>
      <c r="Q26">
        <v>0.78500000000000003</v>
      </c>
      <c r="R26">
        <v>239</v>
      </c>
      <c r="S26">
        <v>0.42899999999999999</v>
      </c>
      <c r="T26">
        <v>44</v>
      </c>
      <c r="U26">
        <v>0.98799999999999999</v>
      </c>
      <c r="V26">
        <v>66</v>
      </c>
      <c r="W26">
        <v>0.93400000000000005</v>
      </c>
      <c r="X26">
        <v>34</v>
      </c>
      <c r="Y26">
        <v>1.123</v>
      </c>
      <c r="Z26">
        <v>28</v>
      </c>
      <c r="AA26">
        <v>0.96599999999999997</v>
      </c>
      <c r="AB26">
        <v>64</v>
      </c>
      <c r="AC26" s="21">
        <v>0.53600000000000003</v>
      </c>
      <c r="AD26" s="21">
        <v>0.51300000000000001</v>
      </c>
      <c r="AE26">
        <v>90</v>
      </c>
      <c r="AF26">
        <v>89</v>
      </c>
      <c r="AG26" s="21">
        <v>0.48899999999999999</v>
      </c>
      <c r="AH26">
        <v>224</v>
      </c>
      <c r="AI26">
        <v>18.812000000000001</v>
      </c>
      <c r="AJ26">
        <v>31</v>
      </c>
      <c r="AK26" s="21">
        <v>0.20100000000000001</v>
      </c>
      <c r="AL26">
        <v>124</v>
      </c>
      <c r="AM26" s="21">
        <v>0.33200000000000002</v>
      </c>
      <c r="AN26">
        <v>31</v>
      </c>
      <c r="AO26" s="21">
        <v>0.372</v>
      </c>
      <c r="AP26">
        <v>83</v>
      </c>
      <c r="AQ26" s="21">
        <v>0.32200000000000001</v>
      </c>
      <c r="AR26">
        <v>73</v>
      </c>
      <c r="AS26" s="21">
        <v>0.31900000000000001</v>
      </c>
      <c r="AT26">
        <v>209</v>
      </c>
      <c r="AU26" s="21">
        <v>0.71899999999999997</v>
      </c>
      <c r="AV26">
        <v>286</v>
      </c>
      <c r="AW26">
        <v>68</v>
      </c>
      <c r="AX26">
        <v>80</v>
      </c>
      <c r="AY26" s="21">
        <v>0.154</v>
      </c>
      <c r="AZ26">
        <v>41</v>
      </c>
      <c r="BA26" s="21">
        <v>0.19700000000000001</v>
      </c>
    </row>
    <row r="27" spans="1:53" x14ac:dyDescent="0.25">
      <c r="A27" s="1" t="s">
        <v>108</v>
      </c>
      <c r="B27">
        <v>26</v>
      </c>
      <c r="C27">
        <v>16.5</v>
      </c>
      <c r="D27">
        <v>46</v>
      </c>
      <c r="E27">
        <v>13.4</v>
      </c>
      <c r="F27">
        <v>23</v>
      </c>
      <c r="G27">
        <v>11.7</v>
      </c>
      <c r="H27">
        <v>25</v>
      </c>
      <c r="I27">
        <v>7.4</v>
      </c>
      <c r="J27">
        <v>159</v>
      </c>
      <c r="K27">
        <v>0.4</v>
      </c>
      <c r="L27">
        <v>221</v>
      </c>
      <c r="M27">
        <v>10.6</v>
      </c>
      <c r="N27">
        <v>15</v>
      </c>
      <c r="O27">
        <v>1.5429999999999999</v>
      </c>
      <c r="P27">
        <v>20</v>
      </c>
      <c r="Q27">
        <v>0.85199999999999998</v>
      </c>
      <c r="R27">
        <v>36</v>
      </c>
      <c r="S27">
        <v>0.72699999999999998</v>
      </c>
      <c r="T27">
        <v>49</v>
      </c>
      <c r="U27">
        <v>0.98699999999999999</v>
      </c>
      <c r="V27">
        <v>4</v>
      </c>
      <c r="W27">
        <v>0.89100000000000001</v>
      </c>
      <c r="X27">
        <v>54</v>
      </c>
      <c r="Y27">
        <v>1.103</v>
      </c>
      <c r="Z27">
        <v>33</v>
      </c>
      <c r="AA27">
        <v>0.97</v>
      </c>
      <c r="AB27">
        <v>82</v>
      </c>
      <c r="AC27" s="21">
        <v>0.53</v>
      </c>
      <c r="AD27" s="21">
        <v>0.501</v>
      </c>
      <c r="AE27">
        <v>148</v>
      </c>
      <c r="AF27">
        <v>163</v>
      </c>
      <c r="AG27" s="21">
        <v>0.505</v>
      </c>
      <c r="AH27">
        <v>171</v>
      </c>
      <c r="AI27">
        <v>19.788</v>
      </c>
      <c r="AJ27">
        <v>155</v>
      </c>
      <c r="AK27" s="21">
        <v>0.23699999999999999</v>
      </c>
      <c r="AL27">
        <v>234</v>
      </c>
      <c r="AM27" s="21">
        <v>0.29499999999999998</v>
      </c>
      <c r="AN27">
        <v>100</v>
      </c>
      <c r="AO27" s="21">
        <v>0.35199999999999998</v>
      </c>
      <c r="AP27">
        <v>130</v>
      </c>
      <c r="AQ27" s="21">
        <v>0.33200000000000002</v>
      </c>
      <c r="AR27">
        <v>67</v>
      </c>
      <c r="AS27" s="21">
        <v>0.32100000000000001</v>
      </c>
      <c r="AT27">
        <v>183</v>
      </c>
      <c r="AU27" s="21">
        <v>0.72399999999999998</v>
      </c>
      <c r="AV27">
        <v>296</v>
      </c>
      <c r="AW27">
        <v>67.7</v>
      </c>
      <c r="AX27">
        <v>100</v>
      </c>
      <c r="AY27" s="21">
        <v>0.156</v>
      </c>
      <c r="AZ27">
        <v>5</v>
      </c>
      <c r="BA27" s="21">
        <v>0.224</v>
      </c>
    </row>
    <row r="28" spans="1:53" x14ac:dyDescent="0.25">
      <c r="A28" s="1" t="s">
        <v>215</v>
      </c>
      <c r="B28">
        <v>27</v>
      </c>
      <c r="C28">
        <v>16.5</v>
      </c>
      <c r="D28">
        <v>24</v>
      </c>
      <c r="E28">
        <v>17.3</v>
      </c>
      <c r="F28">
        <v>20</v>
      </c>
      <c r="G28">
        <v>12</v>
      </c>
      <c r="H28">
        <v>48</v>
      </c>
      <c r="I28">
        <v>4.2</v>
      </c>
      <c r="J28">
        <v>178</v>
      </c>
      <c r="K28">
        <v>0</v>
      </c>
      <c r="L28">
        <v>305</v>
      </c>
      <c r="M28">
        <v>11.5</v>
      </c>
      <c r="N28">
        <v>87</v>
      </c>
      <c r="O28">
        <v>1.2949999999999999</v>
      </c>
      <c r="P28">
        <v>28</v>
      </c>
      <c r="Q28">
        <v>0.877</v>
      </c>
      <c r="R28">
        <v>279</v>
      </c>
      <c r="S28">
        <v>0.33300000000000002</v>
      </c>
      <c r="T28">
        <v>52</v>
      </c>
      <c r="U28">
        <v>0.98599999999999999</v>
      </c>
      <c r="V28">
        <v>72</v>
      </c>
      <c r="W28">
        <v>0.93600000000000005</v>
      </c>
      <c r="X28">
        <v>5</v>
      </c>
      <c r="Y28">
        <v>1.1779999999999999</v>
      </c>
      <c r="Z28">
        <v>165</v>
      </c>
      <c r="AA28">
        <v>1.03</v>
      </c>
      <c r="AB28">
        <v>18</v>
      </c>
      <c r="AC28" s="21">
        <v>0.56200000000000006</v>
      </c>
      <c r="AD28" s="21">
        <v>0.51600000000000001</v>
      </c>
      <c r="AE28">
        <v>80</v>
      </c>
      <c r="AF28">
        <v>170</v>
      </c>
      <c r="AG28" s="21">
        <v>0.50700000000000001</v>
      </c>
      <c r="AH28">
        <v>1</v>
      </c>
      <c r="AI28">
        <v>27.349</v>
      </c>
      <c r="AJ28">
        <v>216</v>
      </c>
      <c r="AK28" s="21">
        <v>0.251</v>
      </c>
      <c r="AL28">
        <v>184</v>
      </c>
      <c r="AM28" s="21">
        <v>0.314</v>
      </c>
      <c r="AN28">
        <v>36</v>
      </c>
      <c r="AO28" s="21">
        <v>0.37</v>
      </c>
      <c r="AP28">
        <v>155</v>
      </c>
      <c r="AQ28" s="21">
        <v>0.33400000000000002</v>
      </c>
      <c r="AR28">
        <v>52</v>
      </c>
      <c r="AS28" s="21">
        <v>0.32600000000000001</v>
      </c>
      <c r="AT28">
        <v>305</v>
      </c>
      <c r="AU28" s="21">
        <v>0.69399999999999995</v>
      </c>
      <c r="AV28">
        <v>105</v>
      </c>
      <c r="AW28">
        <v>71.7</v>
      </c>
      <c r="AX28">
        <v>47</v>
      </c>
      <c r="AY28" s="21">
        <v>0.14899999999999999</v>
      </c>
      <c r="AZ28">
        <v>43</v>
      </c>
      <c r="BA28" s="21">
        <v>0.19600000000000001</v>
      </c>
    </row>
    <row r="29" spans="1:53" x14ac:dyDescent="0.25">
      <c r="A29" s="1" t="s">
        <v>174</v>
      </c>
      <c r="B29">
        <v>28</v>
      </c>
      <c r="C29">
        <v>16.2</v>
      </c>
      <c r="D29">
        <v>17</v>
      </c>
      <c r="E29">
        <v>18.899999999999999</v>
      </c>
      <c r="F29">
        <v>41</v>
      </c>
      <c r="G29">
        <v>10.1</v>
      </c>
      <c r="H29">
        <v>16</v>
      </c>
      <c r="I29">
        <v>9.1999999999999993</v>
      </c>
      <c r="J29">
        <v>29</v>
      </c>
      <c r="K29">
        <v>2.6</v>
      </c>
      <c r="L29">
        <v>334</v>
      </c>
      <c r="M29">
        <v>12</v>
      </c>
      <c r="N29">
        <v>129</v>
      </c>
      <c r="O29">
        <v>1.224</v>
      </c>
      <c r="P29">
        <v>31</v>
      </c>
      <c r="Q29">
        <v>0.90200000000000002</v>
      </c>
      <c r="R29">
        <v>7</v>
      </c>
      <c r="S29">
        <v>0.85699999999999998</v>
      </c>
      <c r="T29">
        <v>82</v>
      </c>
      <c r="U29">
        <v>0.97599999999999998</v>
      </c>
      <c r="V29">
        <v>77</v>
      </c>
      <c r="W29">
        <v>0.93700000000000006</v>
      </c>
      <c r="X29">
        <v>41</v>
      </c>
      <c r="Y29">
        <v>1.1120000000000001</v>
      </c>
      <c r="Z29">
        <v>40</v>
      </c>
      <c r="AA29">
        <v>0.97499999999999998</v>
      </c>
      <c r="AB29">
        <v>72</v>
      </c>
      <c r="AC29" s="21">
        <v>0.53400000000000003</v>
      </c>
      <c r="AD29" s="21">
        <v>0.55500000000000005</v>
      </c>
      <c r="AE29">
        <v>11</v>
      </c>
      <c r="AF29">
        <v>96</v>
      </c>
      <c r="AG29" s="21">
        <v>0.49199999999999999</v>
      </c>
      <c r="AH29">
        <v>88</v>
      </c>
      <c r="AI29">
        <v>21.553000000000001</v>
      </c>
      <c r="AJ29">
        <v>27</v>
      </c>
      <c r="AK29" s="21">
        <v>0.19900000000000001</v>
      </c>
      <c r="AL29">
        <v>71</v>
      </c>
      <c r="AM29" s="21">
        <v>0.35899999999999999</v>
      </c>
      <c r="AN29">
        <v>216</v>
      </c>
      <c r="AO29" s="21">
        <v>0.33</v>
      </c>
      <c r="AP29">
        <v>176</v>
      </c>
      <c r="AQ29" s="21">
        <v>0.33700000000000002</v>
      </c>
      <c r="AR29">
        <v>92</v>
      </c>
      <c r="AS29" s="21">
        <v>0.31</v>
      </c>
      <c r="AT29">
        <v>65</v>
      </c>
      <c r="AU29" s="21">
        <v>0.748</v>
      </c>
      <c r="AV29">
        <v>155</v>
      </c>
      <c r="AW29">
        <v>70.7</v>
      </c>
      <c r="AX29">
        <v>141</v>
      </c>
      <c r="AY29" s="21">
        <v>0.16200000000000001</v>
      </c>
      <c r="AZ29">
        <v>90</v>
      </c>
      <c r="BA29" s="21">
        <v>0.182</v>
      </c>
    </row>
    <row r="30" spans="1:53" x14ac:dyDescent="0.25">
      <c r="A30" s="1" t="s">
        <v>523</v>
      </c>
      <c r="B30">
        <v>29</v>
      </c>
      <c r="C30">
        <v>15.8</v>
      </c>
      <c r="D30">
        <v>21</v>
      </c>
      <c r="E30">
        <v>18.2</v>
      </c>
      <c r="F30">
        <v>26</v>
      </c>
      <c r="G30">
        <v>11.6</v>
      </c>
      <c r="H30">
        <v>4</v>
      </c>
      <c r="I30">
        <v>12.4</v>
      </c>
      <c r="J30">
        <v>247</v>
      </c>
      <c r="K30">
        <v>-0.9</v>
      </c>
      <c r="L30">
        <v>69</v>
      </c>
      <c r="M30">
        <v>9.1999999999999993</v>
      </c>
      <c r="N30">
        <v>61</v>
      </c>
      <c r="O30">
        <v>1.353</v>
      </c>
      <c r="P30">
        <v>209</v>
      </c>
      <c r="Q30">
        <v>1.1719999999999999</v>
      </c>
      <c r="R30">
        <v>142</v>
      </c>
      <c r="S30">
        <v>0.54600000000000004</v>
      </c>
      <c r="T30">
        <v>154</v>
      </c>
      <c r="U30">
        <v>0.96</v>
      </c>
      <c r="V30">
        <v>253</v>
      </c>
      <c r="W30">
        <v>0.96799999999999997</v>
      </c>
      <c r="X30">
        <v>44</v>
      </c>
      <c r="Y30">
        <v>1.107</v>
      </c>
      <c r="Z30">
        <v>159</v>
      </c>
      <c r="AA30">
        <v>1.0269999999999999</v>
      </c>
      <c r="AB30">
        <v>52</v>
      </c>
      <c r="AC30" s="21">
        <v>0.54200000000000004</v>
      </c>
      <c r="AD30" s="21">
        <v>0.53400000000000003</v>
      </c>
      <c r="AE30">
        <v>40</v>
      </c>
      <c r="AF30">
        <v>115</v>
      </c>
      <c r="AG30" s="21">
        <v>0.496</v>
      </c>
      <c r="AH30">
        <v>106</v>
      </c>
      <c r="AI30">
        <v>21.22</v>
      </c>
      <c r="AJ30">
        <v>112</v>
      </c>
      <c r="AK30" s="21">
        <v>0.22700000000000001</v>
      </c>
      <c r="AL30">
        <v>237</v>
      </c>
      <c r="AM30" s="21">
        <v>0.29299999999999998</v>
      </c>
      <c r="AN30">
        <v>91</v>
      </c>
      <c r="AO30" s="21">
        <v>0.35299999999999998</v>
      </c>
      <c r="AP30">
        <v>161</v>
      </c>
      <c r="AQ30" s="21">
        <v>0.33500000000000002</v>
      </c>
      <c r="AR30">
        <v>236</v>
      </c>
      <c r="AS30" s="21">
        <v>0.25700000000000001</v>
      </c>
      <c r="AT30">
        <v>57</v>
      </c>
      <c r="AU30" s="21">
        <v>0.75</v>
      </c>
      <c r="AV30">
        <v>45</v>
      </c>
      <c r="AW30">
        <v>73</v>
      </c>
      <c r="AX30">
        <v>41</v>
      </c>
      <c r="AY30" s="21">
        <v>0.14799999999999999</v>
      </c>
      <c r="AZ30">
        <v>310</v>
      </c>
      <c r="BA30" s="21">
        <v>0.14799999999999999</v>
      </c>
    </row>
    <row r="31" spans="1:53" x14ac:dyDescent="0.25">
      <c r="A31" s="1" t="s">
        <v>147</v>
      </c>
      <c r="B31">
        <v>30</v>
      </c>
      <c r="C31">
        <v>15.3</v>
      </c>
      <c r="D31">
        <v>10</v>
      </c>
      <c r="E31">
        <v>21.8</v>
      </c>
      <c r="F31">
        <v>15</v>
      </c>
      <c r="G31">
        <v>12.8</v>
      </c>
      <c r="H31">
        <v>28</v>
      </c>
      <c r="I31">
        <v>7</v>
      </c>
      <c r="J31">
        <v>38</v>
      </c>
      <c r="K31">
        <v>2.4</v>
      </c>
      <c r="L31">
        <v>169</v>
      </c>
      <c r="M31">
        <v>10.199999999999999</v>
      </c>
      <c r="N31">
        <v>8</v>
      </c>
      <c r="O31">
        <v>1.595</v>
      </c>
      <c r="P31">
        <v>72</v>
      </c>
      <c r="Q31">
        <v>0.97699999999999998</v>
      </c>
      <c r="R31">
        <v>108</v>
      </c>
      <c r="S31">
        <v>0.58299999999999996</v>
      </c>
      <c r="T31">
        <v>75</v>
      </c>
      <c r="U31">
        <v>0.97799999999999998</v>
      </c>
      <c r="V31">
        <v>35</v>
      </c>
      <c r="W31">
        <v>0.92200000000000004</v>
      </c>
      <c r="X31">
        <v>88</v>
      </c>
      <c r="Y31">
        <v>1.0760000000000001</v>
      </c>
      <c r="Z31">
        <v>84</v>
      </c>
      <c r="AA31">
        <v>1</v>
      </c>
      <c r="AB31">
        <v>158</v>
      </c>
      <c r="AC31" s="21">
        <v>0.51100000000000001</v>
      </c>
      <c r="AD31" s="21">
        <v>0.50600000000000001</v>
      </c>
      <c r="AE31">
        <v>118</v>
      </c>
      <c r="AF31">
        <v>157</v>
      </c>
      <c r="AG31" s="21">
        <v>0.505</v>
      </c>
      <c r="AH31">
        <v>66</v>
      </c>
      <c r="AI31">
        <v>22.012</v>
      </c>
      <c r="AJ31">
        <v>301</v>
      </c>
      <c r="AK31" s="21">
        <v>0.27200000000000002</v>
      </c>
      <c r="AL31">
        <v>161</v>
      </c>
      <c r="AM31" s="21">
        <v>0.32</v>
      </c>
      <c r="AN31">
        <v>156</v>
      </c>
      <c r="AO31" s="21">
        <v>0.34100000000000003</v>
      </c>
      <c r="AP31">
        <v>114</v>
      </c>
      <c r="AQ31" s="21">
        <v>0.32700000000000001</v>
      </c>
      <c r="AR31">
        <v>315</v>
      </c>
      <c r="AS31" s="21">
        <v>0.22800000000000001</v>
      </c>
      <c r="AT31">
        <v>212</v>
      </c>
      <c r="AU31" s="21">
        <v>0.71799999999999997</v>
      </c>
      <c r="AV31">
        <v>101</v>
      </c>
      <c r="AW31">
        <v>71.7</v>
      </c>
      <c r="AX31">
        <v>3</v>
      </c>
      <c r="AY31" s="21">
        <v>0.124</v>
      </c>
      <c r="AZ31">
        <v>34</v>
      </c>
      <c r="BA31" s="21">
        <v>0.2</v>
      </c>
    </row>
    <row r="32" spans="1:53" x14ac:dyDescent="0.25">
      <c r="A32" s="1" t="s">
        <v>524</v>
      </c>
      <c r="B32">
        <v>31</v>
      </c>
      <c r="C32">
        <v>15</v>
      </c>
      <c r="D32">
        <v>30</v>
      </c>
      <c r="E32">
        <v>16.2</v>
      </c>
      <c r="F32">
        <v>22</v>
      </c>
      <c r="G32">
        <v>12</v>
      </c>
      <c r="H32">
        <v>36</v>
      </c>
      <c r="I32">
        <v>5.6</v>
      </c>
      <c r="J32">
        <v>130</v>
      </c>
      <c r="K32">
        <v>0.8</v>
      </c>
      <c r="L32">
        <v>351</v>
      </c>
      <c r="M32">
        <v>12.7</v>
      </c>
      <c r="N32">
        <v>37</v>
      </c>
      <c r="O32">
        <v>1.4359999999999999</v>
      </c>
      <c r="P32">
        <v>106</v>
      </c>
      <c r="Q32">
        <v>1.0069999999999999</v>
      </c>
      <c r="R32">
        <v>93</v>
      </c>
      <c r="S32">
        <v>0.6</v>
      </c>
      <c r="T32">
        <v>14</v>
      </c>
      <c r="U32">
        <v>1.0109999999999999</v>
      </c>
      <c r="V32">
        <v>78</v>
      </c>
      <c r="W32">
        <v>0.93700000000000006</v>
      </c>
      <c r="X32">
        <v>49</v>
      </c>
      <c r="Y32">
        <v>1.1060000000000001</v>
      </c>
      <c r="Z32">
        <v>162</v>
      </c>
      <c r="AA32">
        <v>1.028</v>
      </c>
      <c r="AB32">
        <v>122</v>
      </c>
      <c r="AC32" s="21">
        <v>0.51700000000000002</v>
      </c>
      <c r="AD32" s="21">
        <v>0.48199999999999998</v>
      </c>
      <c r="AE32">
        <v>251</v>
      </c>
      <c r="AF32">
        <v>239</v>
      </c>
      <c r="AG32" s="21">
        <v>0.51900000000000002</v>
      </c>
      <c r="AH32">
        <v>189</v>
      </c>
      <c r="AI32">
        <v>19.498000000000001</v>
      </c>
      <c r="AJ32">
        <v>219</v>
      </c>
      <c r="AK32" s="21">
        <v>0.253</v>
      </c>
      <c r="AL32">
        <v>176</v>
      </c>
      <c r="AM32" s="21">
        <v>0.317</v>
      </c>
      <c r="AN32">
        <v>298</v>
      </c>
      <c r="AO32" s="21">
        <v>0.314</v>
      </c>
      <c r="AP32">
        <v>314</v>
      </c>
      <c r="AQ32" s="21">
        <v>0.36099999999999999</v>
      </c>
      <c r="AR32">
        <v>57</v>
      </c>
      <c r="AS32" s="21">
        <v>0.32300000000000001</v>
      </c>
      <c r="AT32">
        <v>145</v>
      </c>
      <c r="AU32" s="21">
        <v>0.73099999999999998</v>
      </c>
      <c r="AV32">
        <v>79</v>
      </c>
      <c r="AW32">
        <v>72.099999999999994</v>
      </c>
      <c r="AX32">
        <v>39</v>
      </c>
      <c r="AY32" s="21">
        <v>0.14699999999999999</v>
      </c>
      <c r="AZ32">
        <v>74</v>
      </c>
      <c r="BA32" s="21">
        <v>0.186</v>
      </c>
    </row>
    <row r="33" spans="1:53" x14ac:dyDescent="0.25">
      <c r="A33" s="1" t="s">
        <v>90</v>
      </c>
      <c r="B33">
        <v>32</v>
      </c>
      <c r="C33">
        <v>14.9</v>
      </c>
      <c r="D33">
        <v>11</v>
      </c>
      <c r="E33">
        <v>21.7</v>
      </c>
      <c r="F33">
        <v>28</v>
      </c>
      <c r="G33">
        <v>11.5</v>
      </c>
      <c r="H33">
        <v>29</v>
      </c>
      <c r="I33">
        <v>6.9</v>
      </c>
      <c r="J33">
        <v>11</v>
      </c>
      <c r="K33">
        <v>3.3</v>
      </c>
      <c r="L33">
        <v>139</v>
      </c>
      <c r="M33">
        <v>9.9</v>
      </c>
      <c r="N33">
        <v>88</v>
      </c>
      <c r="O33">
        <v>1.2929999999999999</v>
      </c>
      <c r="P33">
        <v>135</v>
      </c>
      <c r="Q33">
        <v>1.0569999999999999</v>
      </c>
      <c r="R33">
        <v>18</v>
      </c>
      <c r="S33">
        <v>0.77800000000000002</v>
      </c>
      <c r="T33">
        <v>180</v>
      </c>
      <c r="U33">
        <v>0.95599999999999996</v>
      </c>
      <c r="V33">
        <v>179</v>
      </c>
      <c r="W33">
        <v>0.95599999999999996</v>
      </c>
      <c r="X33">
        <v>92</v>
      </c>
      <c r="Y33">
        <v>1.0740000000000001</v>
      </c>
      <c r="Z33">
        <v>83</v>
      </c>
      <c r="AA33">
        <v>0.999</v>
      </c>
      <c r="AB33">
        <v>105</v>
      </c>
      <c r="AC33" s="21">
        <v>0.52200000000000002</v>
      </c>
      <c r="AD33" s="21">
        <v>0.51500000000000001</v>
      </c>
      <c r="AE33">
        <v>84</v>
      </c>
      <c r="AF33">
        <v>93</v>
      </c>
      <c r="AG33" s="21">
        <v>0.49</v>
      </c>
      <c r="AH33">
        <v>112</v>
      </c>
      <c r="AI33">
        <v>21.047999999999998</v>
      </c>
      <c r="AJ33">
        <v>45</v>
      </c>
      <c r="AK33" s="21">
        <v>0.20799999999999999</v>
      </c>
      <c r="AL33">
        <v>214</v>
      </c>
      <c r="AM33" s="21">
        <v>0.30299999999999999</v>
      </c>
      <c r="AN33">
        <v>170</v>
      </c>
      <c r="AO33" s="21">
        <v>0.34</v>
      </c>
      <c r="AP33">
        <v>59</v>
      </c>
      <c r="AQ33" s="21">
        <v>0.316</v>
      </c>
      <c r="AR33">
        <v>192</v>
      </c>
      <c r="AS33" s="21">
        <v>0.27600000000000002</v>
      </c>
      <c r="AT33">
        <v>207</v>
      </c>
      <c r="AU33" s="21">
        <v>0.71899999999999997</v>
      </c>
      <c r="AV33">
        <v>135</v>
      </c>
      <c r="AW33">
        <v>71</v>
      </c>
      <c r="AX33">
        <v>119</v>
      </c>
      <c r="AY33" s="21">
        <v>0.159</v>
      </c>
      <c r="AZ33">
        <v>141</v>
      </c>
      <c r="BA33" s="21">
        <v>0.17199999999999999</v>
      </c>
    </row>
    <row r="34" spans="1:53" x14ac:dyDescent="0.25">
      <c r="A34" s="1" t="s">
        <v>440</v>
      </c>
      <c r="B34">
        <v>33</v>
      </c>
      <c r="C34">
        <v>14.8</v>
      </c>
      <c r="D34">
        <v>47</v>
      </c>
      <c r="E34">
        <v>13.3</v>
      </c>
      <c r="F34">
        <v>21</v>
      </c>
      <c r="G34">
        <v>12</v>
      </c>
      <c r="H34">
        <v>20</v>
      </c>
      <c r="I34">
        <v>8.5</v>
      </c>
      <c r="J34">
        <v>326</v>
      </c>
      <c r="K34">
        <v>-2.4</v>
      </c>
      <c r="L34">
        <v>330</v>
      </c>
      <c r="M34">
        <v>12</v>
      </c>
      <c r="N34">
        <v>138</v>
      </c>
      <c r="O34">
        <v>1.2090000000000001</v>
      </c>
      <c r="P34">
        <v>108</v>
      </c>
      <c r="Q34">
        <v>1.0109999999999999</v>
      </c>
      <c r="R34">
        <v>158</v>
      </c>
      <c r="S34">
        <v>0.5</v>
      </c>
      <c r="T34">
        <v>169</v>
      </c>
      <c r="U34">
        <v>0.95799999999999996</v>
      </c>
      <c r="V34">
        <v>203</v>
      </c>
      <c r="W34">
        <v>0.96</v>
      </c>
      <c r="X34">
        <v>61</v>
      </c>
      <c r="Y34">
        <v>1.0980000000000001</v>
      </c>
      <c r="Z34">
        <v>150</v>
      </c>
      <c r="AA34">
        <v>1.024</v>
      </c>
      <c r="AB34">
        <v>68</v>
      </c>
      <c r="AC34" s="21">
        <v>0.53500000000000003</v>
      </c>
      <c r="AD34" s="21">
        <v>0.49</v>
      </c>
      <c r="AE34">
        <v>206</v>
      </c>
      <c r="AF34">
        <v>75</v>
      </c>
      <c r="AG34" s="21">
        <v>0.48599999999999999</v>
      </c>
      <c r="AH34">
        <v>67</v>
      </c>
      <c r="AI34">
        <v>21.984000000000002</v>
      </c>
      <c r="AJ34">
        <v>334</v>
      </c>
      <c r="AK34" s="21">
        <v>0.28599999999999998</v>
      </c>
      <c r="AL34">
        <v>192</v>
      </c>
      <c r="AM34" s="21">
        <v>0.31</v>
      </c>
      <c r="AN34">
        <v>42</v>
      </c>
      <c r="AO34" s="21">
        <v>0.36799999999999999</v>
      </c>
      <c r="AP34">
        <v>20</v>
      </c>
      <c r="AQ34" s="21">
        <v>0.30499999999999999</v>
      </c>
      <c r="AR34">
        <v>220</v>
      </c>
      <c r="AS34" s="21">
        <v>0.26600000000000001</v>
      </c>
      <c r="AT34">
        <v>227</v>
      </c>
      <c r="AU34" s="21">
        <v>0.71499999999999997</v>
      </c>
      <c r="AV34">
        <v>98</v>
      </c>
      <c r="AW34">
        <v>71.8</v>
      </c>
      <c r="AX34">
        <v>65</v>
      </c>
      <c r="AY34" s="21">
        <v>0.152</v>
      </c>
      <c r="AZ34">
        <v>202</v>
      </c>
      <c r="BA34" s="21">
        <v>0.16400000000000001</v>
      </c>
    </row>
    <row r="35" spans="1:53" x14ac:dyDescent="0.25">
      <c r="A35" s="1" t="s">
        <v>96</v>
      </c>
      <c r="B35">
        <v>34</v>
      </c>
      <c r="C35">
        <v>14.8</v>
      </c>
      <c r="D35">
        <v>74</v>
      </c>
      <c r="E35">
        <v>10.199999999999999</v>
      </c>
      <c r="F35">
        <v>36</v>
      </c>
      <c r="G35">
        <v>10.7</v>
      </c>
      <c r="H35">
        <v>21</v>
      </c>
      <c r="I35">
        <v>8.1999999999999993</v>
      </c>
      <c r="J35">
        <v>58</v>
      </c>
      <c r="K35">
        <v>1.9</v>
      </c>
      <c r="L35">
        <v>126</v>
      </c>
      <c r="M35">
        <v>9.8000000000000007</v>
      </c>
      <c r="N35">
        <v>51</v>
      </c>
      <c r="O35">
        <v>1.387</v>
      </c>
      <c r="P35">
        <v>334</v>
      </c>
      <c r="Q35">
        <v>1.4630000000000001</v>
      </c>
      <c r="R35">
        <v>27</v>
      </c>
      <c r="S35">
        <v>0.75</v>
      </c>
      <c r="T35">
        <v>297</v>
      </c>
      <c r="U35">
        <v>0.93</v>
      </c>
      <c r="V35">
        <v>359</v>
      </c>
      <c r="W35">
        <v>1.0169999999999999</v>
      </c>
      <c r="X35">
        <v>80</v>
      </c>
      <c r="Y35">
        <v>1.0820000000000001</v>
      </c>
      <c r="Z35">
        <v>86</v>
      </c>
      <c r="AA35">
        <v>1</v>
      </c>
      <c r="AB35">
        <v>24</v>
      </c>
      <c r="AC35" s="21">
        <v>0.55800000000000005</v>
      </c>
      <c r="AD35" s="21">
        <v>0.52100000000000002</v>
      </c>
      <c r="AE35">
        <v>62</v>
      </c>
      <c r="AF35">
        <v>25</v>
      </c>
      <c r="AG35" s="21">
        <v>0.47</v>
      </c>
      <c r="AH35">
        <v>301</v>
      </c>
      <c r="AI35">
        <v>17.053000000000001</v>
      </c>
      <c r="AJ35">
        <v>1</v>
      </c>
      <c r="AK35" s="21">
        <v>0.14099999999999999</v>
      </c>
      <c r="AL35">
        <v>45</v>
      </c>
      <c r="AM35" s="21">
        <v>0.376</v>
      </c>
      <c r="AN35">
        <v>177</v>
      </c>
      <c r="AO35" s="21">
        <v>0.33900000000000002</v>
      </c>
      <c r="AP35">
        <v>111</v>
      </c>
      <c r="AQ35" s="21">
        <v>0.32700000000000001</v>
      </c>
      <c r="AR35">
        <v>245</v>
      </c>
      <c r="AS35" s="21">
        <v>0.254</v>
      </c>
      <c r="AT35">
        <v>68</v>
      </c>
      <c r="AU35" s="21">
        <v>0.748</v>
      </c>
      <c r="AV35">
        <v>217</v>
      </c>
      <c r="AW35">
        <v>69.5</v>
      </c>
      <c r="AX35">
        <v>249</v>
      </c>
      <c r="AY35" s="21">
        <v>0.17699999999999999</v>
      </c>
      <c r="AZ35">
        <v>361</v>
      </c>
      <c r="BA35" s="21">
        <v>0.115</v>
      </c>
    </row>
    <row r="36" spans="1:53" x14ac:dyDescent="0.25">
      <c r="A36" s="1" t="s">
        <v>525</v>
      </c>
      <c r="B36">
        <v>35</v>
      </c>
      <c r="C36">
        <v>14.7</v>
      </c>
      <c r="D36">
        <v>36</v>
      </c>
      <c r="E36">
        <v>15.2</v>
      </c>
      <c r="F36">
        <v>72</v>
      </c>
      <c r="G36">
        <v>6.3</v>
      </c>
      <c r="H36">
        <v>38</v>
      </c>
      <c r="I36">
        <v>5.3</v>
      </c>
      <c r="J36">
        <v>52</v>
      </c>
      <c r="K36">
        <v>1.9</v>
      </c>
      <c r="L36">
        <v>219</v>
      </c>
      <c r="M36">
        <v>10.6</v>
      </c>
      <c r="N36">
        <v>10</v>
      </c>
      <c r="O36">
        <v>1.59</v>
      </c>
      <c r="P36">
        <v>201</v>
      </c>
      <c r="Q36">
        <v>1.1619999999999999</v>
      </c>
      <c r="R36">
        <v>77</v>
      </c>
      <c r="S36">
        <v>0.625</v>
      </c>
      <c r="T36">
        <v>2</v>
      </c>
      <c r="U36">
        <v>1.0389999999999999</v>
      </c>
      <c r="V36">
        <v>98</v>
      </c>
      <c r="W36">
        <v>0.94199999999999995</v>
      </c>
      <c r="X36">
        <v>38</v>
      </c>
      <c r="Y36">
        <v>1.1180000000000001</v>
      </c>
      <c r="Z36">
        <v>11</v>
      </c>
      <c r="AA36">
        <v>0.93500000000000005</v>
      </c>
      <c r="AB36">
        <v>170</v>
      </c>
      <c r="AC36" s="21">
        <v>0.50900000000000001</v>
      </c>
      <c r="AD36" s="21">
        <v>0.50800000000000001</v>
      </c>
      <c r="AE36">
        <v>107</v>
      </c>
      <c r="AF36">
        <v>14</v>
      </c>
      <c r="AG36" s="21">
        <v>0.46200000000000002</v>
      </c>
      <c r="AH36">
        <v>173</v>
      </c>
      <c r="AI36">
        <v>19.757000000000001</v>
      </c>
      <c r="AJ36">
        <v>17</v>
      </c>
      <c r="AK36" s="21">
        <v>0.191</v>
      </c>
      <c r="AL36">
        <v>314</v>
      </c>
      <c r="AM36" s="21">
        <v>0.26400000000000001</v>
      </c>
      <c r="AN36">
        <v>230</v>
      </c>
      <c r="AO36" s="21">
        <v>0.32700000000000001</v>
      </c>
      <c r="AP36">
        <v>44</v>
      </c>
      <c r="AQ36" s="21">
        <v>0.312</v>
      </c>
      <c r="AR36">
        <v>2</v>
      </c>
      <c r="AS36" s="21">
        <v>0.39200000000000002</v>
      </c>
      <c r="AT36">
        <v>9</v>
      </c>
      <c r="AU36" s="21">
        <v>0.77700000000000002</v>
      </c>
      <c r="AV36">
        <v>356</v>
      </c>
      <c r="AW36">
        <v>65.599999999999994</v>
      </c>
      <c r="AX36">
        <v>40</v>
      </c>
      <c r="AY36" s="21">
        <v>0.14799999999999999</v>
      </c>
      <c r="AZ36">
        <v>218</v>
      </c>
      <c r="BA36" s="21">
        <v>0.16200000000000001</v>
      </c>
    </row>
    <row r="37" spans="1:53" x14ac:dyDescent="0.25">
      <c r="A37" s="1" t="s">
        <v>94</v>
      </c>
      <c r="B37">
        <v>36</v>
      </c>
      <c r="C37">
        <v>14.2</v>
      </c>
      <c r="D37">
        <v>48</v>
      </c>
      <c r="E37">
        <v>12.5</v>
      </c>
      <c r="F37">
        <v>92</v>
      </c>
      <c r="G37">
        <v>3.7</v>
      </c>
      <c r="H37">
        <v>76</v>
      </c>
      <c r="I37">
        <v>2.2000000000000002</v>
      </c>
      <c r="J37">
        <v>223</v>
      </c>
      <c r="K37">
        <v>-0.6</v>
      </c>
      <c r="L37">
        <v>52</v>
      </c>
      <c r="M37">
        <v>9</v>
      </c>
      <c r="N37">
        <v>71</v>
      </c>
      <c r="O37">
        <v>1.331</v>
      </c>
      <c r="P37">
        <v>2</v>
      </c>
      <c r="Q37">
        <v>0.71499999999999997</v>
      </c>
      <c r="R37">
        <v>279</v>
      </c>
      <c r="S37">
        <v>0.33300000000000002</v>
      </c>
      <c r="T37">
        <v>15</v>
      </c>
      <c r="U37">
        <v>1.008</v>
      </c>
      <c r="V37">
        <v>41</v>
      </c>
      <c r="W37">
        <v>0.92600000000000005</v>
      </c>
      <c r="X37">
        <v>39</v>
      </c>
      <c r="Y37">
        <v>1.117</v>
      </c>
      <c r="Z37">
        <v>5</v>
      </c>
      <c r="AA37">
        <v>0.91400000000000003</v>
      </c>
      <c r="AB37">
        <v>102</v>
      </c>
      <c r="AC37" s="21">
        <v>0.52400000000000002</v>
      </c>
      <c r="AD37" s="21">
        <v>0.51</v>
      </c>
      <c r="AE37">
        <v>98</v>
      </c>
      <c r="AF37">
        <v>1</v>
      </c>
      <c r="AG37" s="21">
        <v>0.44400000000000001</v>
      </c>
      <c r="AH37">
        <v>122</v>
      </c>
      <c r="AI37">
        <v>20.832999999999998</v>
      </c>
      <c r="AJ37">
        <v>234</v>
      </c>
      <c r="AK37" s="21">
        <v>0.25600000000000001</v>
      </c>
      <c r="AL37">
        <v>51</v>
      </c>
      <c r="AM37" s="21">
        <v>0.37</v>
      </c>
      <c r="AN37">
        <v>189</v>
      </c>
      <c r="AO37" s="21">
        <v>0.33500000000000002</v>
      </c>
      <c r="AP37">
        <v>23</v>
      </c>
      <c r="AQ37" s="21">
        <v>0.30599999999999999</v>
      </c>
      <c r="AR37">
        <v>9</v>
      </c>
      <c r="AS37" s="21">
        <v>0.36299999999999999</v>
      </c>
      <c r="AT37">
        <v>146</v>
      </c>
      <c r="AU37" s="21">
        <v>0.73099999999999998</v>
      </c>
      <c r="AV37">
        <v>273</v>
      </c>
      <c r="AW37">
        <v>68.400000000000006</v>
      </c>
      <c r="AX37">
        <v>154</v>
      </c>
      <c r="AY37" s="21">
        <v>0.16400000000000001</v>
      </c>
      <c r="AZ37">
        <v>32</v>
      </c>
      <c r="BA37" s="21">
        <v>0.2</v>
      </c>
    </row>
    <row r="38" spans="1:53" x14ac:dyDescent="0.25">
      <c r="A38" s="1" t="s">
        <v>124</v>
      </c>
      <c r="B38">
        <v>37</v>
      </c>
      <c r="C38">
        <v>13.8</v>
      </c>
      <c r="D38">
        <v>57</v>
      </c>
      <c r="E38">
        <v>11.6</v>
      </c>
      <c r="F38">
        <v>29</v>
      </c>
      <c r="G38">
        <v>11.5</v>
      </c>
      <c r="H38">
        <v>52</v>
      </c>
      <c r="I38">
        <v>3.7</v>
      </c>
      <c r="J38">
        <v>94</v>
      </c>
      <c r="K38">
        <v>1.2</v>
      </c>
      <c r="L38">
        <v>299</v>
      </c>
      <c r="M38">
        <v>11.4</v>
      </c>
      <c r="N38">
        <v>283</v>
      </c>
      <c r="O38">
        <v>0.96399999999999997</v>
      </c>
      <c r="P38">
        <v>61</v>
      </c>
      <c r="Q38">
        <v>0.95899999999999996</v>
      </c>
      <c r="R38">
        <v>116</v>
      </c>
      <c r="S38">
        <v>0.57099999999999995</v>
      </c>
      <c r="T38">
        <v>178</v>
      </c>
      <c r="U38">
        <v>0.95699999999999996</v>
      </c>
      <c r="V38">
        <v>216</v>
      </c>
      <c r="W38">
        <v>0.96299999999999997</v>
      </c>
      <c r="X38">
        <v>95</v>
      </c>
      <c r="Y38">
        <v>1.073</v>
      </c>
      <c r="Z38">
        <v>58</v>
      </c>
      <c r="AA38">
        <v>0.98399999999999999</v>
      </c>
      <c r="AB38">
        <v>96</v>
      </c>
      <c r="AC38" s="21">
        <v>0.52500000000000002</v>
      </c>
      <c r="AD38" s="21">
        <v>0.46899999999999997</v>
      </c>
      <c r="AE38">
        <v>291</v>
      </c>
      <c r="AF38">
        <v>29</v>
      </c>
      <c r="AG38" s="21">
        <v>0.47199999999999998</v>
      </c>
      <c r="AH38">
        <v>40</v>
      </c>
      <c r="AI38">
        <v>22.937000000000001</v>
      </c>
      <c r="AJ38">
        <v>106</v>
      </c>
      <c r="AK38" s="21">
        <v>0.22500000000000001</v>
      </c>
      <c r="AL38">
        <v>295</v>
      </c>
      <c r="AM38" s="21">
        <v>0.27700000000000002</v>
      </c>
      <c r="AN38">
        <v>193</v>
      </c>
      <c r="AO38" s="21">
        <v>0.33500000000000002</v>
      </c>
      <c r="AP38">
        <v>33</v>
      </c>
      <c r="AQ38" s="21">
        <v>0.309</v>
      </c>
      <c r="AR38">
        <v>24</v>
      </c>
      <c r="AS38" s="21">
        <v>0.34100000000000003</v>
      </c>
      <c r="AT38">
        <v>268</v>
      </c>
      <c r="AU38" s="21">
        <v>0.70499999999999996</v>
      </c>
      <c r="AV38">
        <v>168</v>
      </c>
      <c r="AW38">
        <v>70.400000000000006</v>
      </c>
      <c r="AX38">
        <v>292</v>
      </c>
      <c r="AY38" s="21">
        <v>0.184</v>
      </c>
      <c r="AZ38">
        <v>120</v>
      </c>
      <c r="BA38" s="21">
        <v>0.17499999999999999</v>
      </c>
    </row>
    <row r="39" spans="1:53" x14ac:dyDescent="0.25">
      <c r="A39" s="1" t="s">
        <v>113</v>
      </c>
      <c r="B39">
        <v>38</v>
      </c>
      <c r="C39">
        <v>13.8</v>
      </c>
      <c r="D39">
        <v>86</v>
      </c>
      <c r="E39">
        <v>8</v>
      </c>
      <c r="F39">
        <v>50</v>
      </c>
      <c r="G39">
        <v>9.5</v>
      </c>
      <c r="H39">
        <v>39</v>
      </c>
      <c r="I39">
        <v>5.2</v>
      </c>
      <c r="J39">
        <v>190</v>
      </c>
      <c r="K39">
        <v>-0.1</v>
      </c>
      <c r="L39">
        <v>138</v>
      </c>
      <c r="M39">
        <v>9.9</v>
      </c>
      <c r="N39">
        <v>22</v>
      </c>
      <c r="O39">
        <v>1.51</v>
      </c>
      <c r="P39">
        <v>214</v>
      </c>
      <c r="Q39">
        <v>1.1779999999999999</v>
      </c>
      <c r="R39">
        <v>223</v>
      </c>
      <c r="S39">
        <v>0.44400000000000001</v>
      </c>
      <c r="T39">
        <v>306</v>
      </c>
      <c r="U39">
        <v>0.92900000000000005</v>
      </c>
      <c r="V39">
        <v>61</v>
      </c>
      <c r="W39">
        <v>0.93100000000000005</v>
      </c>
      <c r="X39">
        <v>70</v>
      </c>
      <c r="Y39">
        <v>1.091</v>
      </c>
      <c r="Z39">
        <v>71</v>
      </c>
      <c r="AA39">
        <v>0.99099999999999999</v>
      </c>
      <c r="AB39">
        <v>55</v>
      </c>
      <c r="AC39" s="21">
        <v>0.53900000000000003</v>
      </c>
      <c r="AD39" s="21">
        <v>0.51400000000000001</v>
      </c>
      <c r="AE39">
        <v>87</v>
      </c>
      <c r="AF39">
        <v>166</v>
      </c>
      <c r="AG39" s="21">
        <v>0.50600000000000001</v>
      </c>
      <c r="AH39">
        <v>29</v>
      </c>
      <c r="AI39">
        <v>23.472999999999999</v>
      </c>
      <c r="AJ39">
        <v>46</v>
      </c>
      <c r="AK39" s="21">
        <v>0.20799999999999999</v>
      </c>
      <c r="AL39">
        <v>173</v>
      </c>
      <c r="AM39" s="21">
        <v>0.317</v>
      </c>
      <c r="AN39">
        <v>6</v>
      </c>
      <c r="AO39" s="21">
        <v>0.38800000000000001</v>
      </c>
      <c r="AP39">
        <v>187</v>
      </c>
      <c r="AQ39" s="21">
        <v>0.33900000000000002</v>
      </c>
      <c r="AR39">
        <v>335</v>
      </c>
      <c r="AS39" s="21">
        <v>0.216</v>
      </c>
      <c r="AT39">
        <v>25</v>
      </c>
      <c r="AU39" s="21">
        <v>0.76600000000000001</v>
      </c>
      <c r="AV39">
        <v>113</v>
      </c>
      <c r="AW39">
        <v>71.5</v>
      </c>
      <c r="AX39">
        <v>104</v>
      </c>
      <c r="AY39" s="21">
        <v>0.157</v>
      </c>
      <c r="AZ39">
        <v>144</v>
      </c>
      <c r="BA39" s="21">
        <v>0.17199999999999999</v>
      </c>
    </row>
    <row r="40" spans="1:53" x14ac:dyDescent="0.25">
      <c r="A40" s="1" t="s">
        <v>163</v>
      </c>
      <c r="B40">
        <v>39</v>
      </c>
      <c r="C40">
        <v>13.5</v>
      </c>
      <c r="D40">
        <v>53</v>
      </c>
      <c r="E40">
        <v>12</v>
      </c>
      <c r="F40">
        <v>33</v>
      </c>
      <c r="G40">
        <v>11.1</v>
      </c>
      <c r="H40">
        <v>44</v>
      </c>
      <c r="I40">
        <v>4.3</v>
      </c>
      <c r="J40">
        <v>151</v>
      </c>
      <c r="K40">
        <v>0.5</v>
      </c>
      <c r="L40">
        <v>65</v>
      </c>
      <c r="M40">
        <v>9.1</v>
      </c>
      <c r="N40">
        <v>115</v>
      </c>
      <c r="O40">
        <v>1.2390000000000001</v>
      </c>
      <c r="P40">
        <v>87</v>
      </c>
      <c r="Q40">
        <v>0.99299999999999999</v>
      </c>
      <c r="R40">
        <v>142</v>
      </c>
      <c r="S40">
        <v>0.54600000000000004</v>
      </c>
      <c r="T40">
        <v>241</v>
      </c>
      <c r="U40">
        <v>0.94299999999999995</v>
      </c>
      <c r="V40">
        <v>141</v>
      </c>
      <c r="W40">
        <v>0.95099999999999996</v>
      </c>
      <c r="X40">
        <v>123</v>
      </c>
      <c r="Y40">
        <v>1.06</v>
      </c>
      <c r="Z40">
        <v>60</v>
      </c>
      <c r="AA40">
        <v>0.98399999999999999</v>
      </c>
      <c r="AB40">
        <v>88</v>
      </c>
      <c r="AC40" s="21">
        <v>0.52700000000000002</v>
      </c>
      <c r="AD40" s="21">
        <v>0.51700000000000002</v>
      </c>
      <c r="AE40">
        <v>76</v>
      </c>
      <c r="AF40">
        <v>60</v>
      </c>
      <c r="AG40" s="21">
        <v>0.48299999999999998</v>
      </c>
      <c r="AH40">
        <v>114</v>
      </c>
      <c r="AI40">
        <v>21.003</v>
      </c>
      <c r="AJ40">
        <v>87</v>
      </c>
      <c r="AK40" s="21">
        <v>0.219</v>
      </c>
      <c r="AL40">
        <v>287</v>
      </c>
      <c r="AM40" s="21">
        <v>0.27900000000000003</v>
      </c>
      <c r="AN40">
        <v>201</v>
      </c>
      <c r="AO40" s="21">
        <v>0.33300000000000002</v>
      </c>
      <c r="AP40">
        <v>72</v>
      </c>
      <c r="AQ40" s="21">
        <v>0.31900000000000001</v>
      </c>
      <c r="AR40">
        <v>258</v>
      </c>
      <c r="AS40" s="21">
        <v>0.25</v>
      </c>
      <c r="AT40">
        <v>118</v>
      </c>
      <c r="AU40" s="21">
        <v>0.73499999999999999</v>
      </c>
      <c r="AV40">
        <v>73</v>
      </c>
      <c r="AW40">
        <v>72.3</v>
      </c>
      <c r="AX40">
        <v>136</v>
      </c>
      <c r="AY40" s="21">
        <v>0.161</v>
      </c>
      <c r="AZ40">
        <v>149</v>
      </c>
      <c r="BA40" s="21">
        <v>0.17100000000000001</v>
      </c>
    </row>
    <row r="41" spans="1:53" x14ac:dyDescent="0.25">
      <c r="A41" s="1" t="s">
        <v>130</v>
      </c>
      <c r="B41">
        <v>40</v>
      </c>
      <c r="C41">
        <v>13.4</v>
      </c>
      <c r="D41">
        <v>41</v>
      </c>
      <c r="E41">
        <v>13.8</v>
      </c>
      <c r="F41">
        <v>31</v>
      </c>
      <c r="G41">
        <v>11.3</v>
      </c>
      <c r="H41">
        <v>67</v>
      </c>
      <c r="I41">
        <v>2.7</v>
      </c>
      <c r="J41">
        <v>238</v>
      </c>
      <c r="K41">
        <v>-0.8</v>
      </c>
      <c r="L41">
        <v>174</v>
      </c>
      <c r="M41">
        <v>10.3</v>
      </c>
      <c r="N41">
        <v>80</v>
      </c>
      <c r="O41">
        <v>1.3049999999999999</v>
      </c>
      <c r="P41">
        <v>121</v>
      </c>
      <c r="Q41">
        <v>1.0329999999999999</v>
      </c>
      <c r="R41">
        <v>108</v>
      </c>
      <c r="S41">
        <v>0.58299999999999996</v>
      </c>
      <c r="T41">
        <v>46</v>
      </c>
      <c r="U41">
        <v>0.98799999999999999</v>
      </c>
      <c r="V41">
        <v>232</v>
      </c>
      <c r="W41">
        <v>0.96499999999999997</v>
      </c>
      <c r="X41">
        <v>46</v>
      </c>
      <c r="Y41">
        <v>1.107</v>
      </c>
      <c r="Z41">
        <v>136</v>
      </c>
      <c r="AA41">
        <v>1.0189999999999999</v>
      </c>
      <c r="AB41">
        <v>95</v>
      </c>
      <c r="AC41" s="21">
        <v>0.52500000000000002</v>
      </c>
      <c r="AD41" s="21">
        <v>0.49299999999999999</v>
      </c>
      <c r="AE41">
        <v>190</v>
      </c>
      <c r="AF41">
        <v>64</v>
      </c>
      <c r="AG41" s="21">
        <v>0.48399999999999999</v>
      </c>
      <c r="AH41">
        <v>41</v>
      </c>
      <c r="AI41">
        <v>22.867000000000001</v>
      </c>
      <c r="AJ41">
        <v>332</v>
      </c>
      <c r="AK41" s="21">
        <v>0.28599999999999998</v>
      </c>
      <c r="AL41">
        <v>252</v>
      </c>
      <c r="AM41" s="21">
        <v>0.28799999999999998</v>
      </c>
      <c r="AN41">
        <v>66</v>
      </c>
      <c r="AO41" s="21">
        <v>0.36</v>
      </c>
      <c r="AP41">
        <v>144</v>
      </c>
      <c r="AQ41" s="21">
        <v>0.33300000000000002</v>
      </c>
      <c r="AR41">
        <v>149</v>
      </c>
      <c r="AS41" s="21">
        <v>0.28699999999999998</v>
      </c>
      <c r="AT41">
        <v>178</v>
      </c>
      <c r="AU41" s="21">
        <v>0.72399999999999998</v>
      </c>
      <c r="AV41">
        <v>143</v>
      </c>
      <c r="AW41">
        <v>70.900000000000006</v>
      </c>
      <c r="AX41">
        <v>19</v>
      </c>
      <c r="AY41" s="21">
        <v>0.14000000000000001</v>
      </c>
      <c r="AZ41">
        <v>213</v>
      </c>
      <c r="BA41" s="21">
        <v>0.16200000000000001</v>
      </c>
    </row>
    <row r="42" spans="1:53" x14ac:dyDescent="0.25">
      <c r="A42" s="1" t="s">
        <v>220</v>
      </c>
      <c r="B42">
        <v>41</v>
      </c>
      <c r="C42">
        <v>13.1</v>
      </c>
      <c r="D42">
        <v>45</v>
      </c>
      <c r="E42">
        <v>13.6</v>
      </c>
      <c r="F42">
        <v>38</v>
      </c>
      <c r="G42">
        <v>10.5</v>
      </c>
      <c r="H42">
        <v>61</v>
      </c>
      <c r="I42">
        <v>3.2</v>
      </c>
      <c r="J42">
        <v>300</v>
      </c>
      <c r="K42">
        <v>-1.8</v>
      </c>
      <c r="L42">
        <v>232</v>
      </c>
      <c r="M42">
        <v>10.7</v>
      </c>
      <c r="N42">
        <v>67</v>
      </c>
      <c r="O42">
        <v>1.337</v>
      </c>
      <c r="P42">
        <v>47</v>
      </c>
      <c r="Q42">
        <v>0.93</v>
      </c>
      <c r="R42">
        <v>309</v>
      </c>
      <c r="S42">
        <v>0.28599999999999998</v>
      </c>
      <c r="T42">
        <v>37</v>
      </c>
      <c r="U42">
        <v>0.995</v>
      </c>
      <c r="V42">
        <v>52</v>
      </c>
      <c r="W42">
        <v>0.92800000000000005</v>
      </c>
      <c r="X42">
        <v>163</v>
      </c>
      <c r="Y42">
        <v>1.042</v>
      </c>
      <c r="Z42">
        <v>34</v>
      </c>
      <c r="AA42">
        <v>0.97099999999999997</v>
      </c>
      <c r="AB42">
        <v>171</v>
      </c>
      <c r="AC42" s="21">
        <v>0.50900000000000001</v>
      </c>
      <c r="AD42" s="21">
        <v>0.495</v>
      </c>
      <c r="AE42">
        <v>180</v>
      </c>
      <c r="AF42">
        <v>77</v>
      </c>
      <c r="AG42" s="21">
        <v>0.48599999999999999</v>
      </c>
      <c r="AH42">
        <v>360</v>
      </c>
      <c r="AI42">
        <v>13.872999999999999</v>
      </c>
      <c r="AJ42">
        <v>12</v>
      </c>
      <c r="AK42" s="21">
        <v>0.182</v>
      </c>
      <c r="AL42">
        <v>191</v>
      </c>
      <c r="AM42" s="21">
        <v>0.312</v>
      </c>
      <c r="AN42">
        <v>265</v>
      </c>
      <c r="AO42" s="21">
        <v>0.32</v>
      </c>
      <c r="AP42">
        <v>137</v>
      </c>
      <c r="AQ42" s="21">
        <v>0.33200000000000002</v>
      </c>
      <c r="AR42">
        <v>83</v>
      </c>
      <c r="AS42" s="21">
        <v>0.313</v>
      </c>
      <c r="AT42">
        <v>160</v>
      </c>
      <c r="AU42" s="21">
        <v>0.72799999999999998</v>
      </c>
      <c r="AV42">
        <v>298</v>
      </c>
      <c r="AW42">
        <v>67.7</v>
      </c>
      <c r="AX42">
        <v>59</v>
      </c>
      <c r="AY42" s="21">
        <v>0.151</v>
      </c>
      <c r="AZ42">
        <v>54</v>
      </c>
      <c r="BA42" s="21">
        <v>0.192</v>
      </c>
    </row>
    <row r="43" spans="1:53" x14ac:dyDescent="0.25">
      <c r="A43" s="1" t="s">
        <v>526</v>
      </c>
      <c r="B43">
        <v>42</v>
      </c>
      <c r="C43">
        <v>12.8</v>
      </c>
      <c r="D43">
        <v>32</v>
      </c>
      <c r="E43">
        <v>15.8</v>
      </c>
      <c r="F43">
        <v>67</v>
      </c>
      <c r="G43">
        <v>7</v>
      </c>
      <c r="H43">
        <v>73</v>
      </c>
      <c r="I43">
        <v>2.2000000000000002</v>
      </c>
      <c r="J43">
        <v>210</v>
      </c>
      <c r="K43">
        <v>-0.5</v>
      </c>
      <c r="L43">
        <v>303</v>
      </c>
      <c r="M43">
        <v>11.5</v>
      </c>
      <c r="N43">
        <v>83</v>
      </c>
      <c r="O43">
        <v>1.3009999999999999</v>
      </c>
      <c r="P43">
        <v>242</v>
      </c>
      <c r="Q43">
        <v>1.21</v>
      </c>
      <c r="R43">
        <v>116</v>
      </c>
      <c r="S43">
        <v>0.57099999999999995</v>
      </c>
      <c r="T43">
        <v>84</v>
      </c>
      <c r="U43">
        <v>0.97499999999999998</v>
      </c>
      <c r="V43">
        <v>172</v>
      </c>
      <c r="W43">
        <v>0.95499999999999996</v>
      </c>
      <c r="X43">
        <v>35</v>
      </c>
      <c r="Y43">
        <v>1.1220000000000001</v>
      </c>
      <c r="Z43">
        <v>79</v>
      </c>
      <c r="AA43">
        <v>0.997</v>
      </c>
      <c r="AB43">
        <v>43</v>
      </c>
      <c r="AC43" s="21">
        <v>0.54700000000000004</v>
      </c>
      <c r="AD43" s="21">
        <v>0.54400000000000004</v>
      </c>
      <c r="AE43">
        <v>28</v>
      </c>
      <c r="AF43">
        <v>48</v>
      </c>
      <c r="AG43" s="21">
        <v>0.47799999999999998</v>
      </c>
      <c r="AH43">
        <v>76</v>
      </c>
      <c r="AI43">
        <v>21.838999999999999</v>
      </c>
      <c r="AJ43">
        <v>163</v>
      </c>
      <c r="AK43" s="21">
        <v>0.24</v>
      </c>
      <c r="AL43">
        <v>239</v>
      </c>
      <c r="AM43" s="21">
        <v>0.29199999999999998</v>
      </c>
      <c r="AN43">
        <v>23</v>
      </c>
      <c r="AO43" s="21">
        <v>0.376</v>
      </c>
      <c r="AP43">
        <v>117</v>
      </c>
      <c r="AQ43" s="21">
        <v>0.32900000000000001</v>
      </c>
      <c r="AR43">
        <v>23</v>
      </c>
      <c r="AS43" s="21">
        <v>0.34100000000000003</v>
      </c>
      <c r="AT43">
        <v>168</v>
      </c>
      <c r="AU43" s="21">
        <v>0.72499999999999998</v>
      </c>
      <c r="AV43">
        <v>121</v>
      </c>
      <c r="AW43">
        <v>71.3</v>
      </c>
      <c r="AX43">
        <v>183</v>
      </c>
      <c r="AY43" s="21">
        <v>0.16800000000000001</v>
      </c>
      <c r="AZ43">
        <v>130</v>
      </c>
      <c r="BA43" s="21">
        <v>0.17399999999999999</v>
      </c>
    </row>
    <row r="44" spans="1:53" x14ac:dyDescent="0.25">
      <c r="A44" s="1" t="s">
        <v>19</v>
      </c>
      <c r="B44">
        <v>43</v>
      </c>
      <c r="C44">
        <v>12.7</v>
      </c>
      <c r="D44">
        <v>19</v>
      </c>
      <c r="E44">
        <v>18.5</v>
      </c>
      <c r="F44">
        <v>30</v>
      </c>
      <c r="G44">
        <v>11.4</v>
      </c>
      <c r="H44">
        <v>43</v>
      </c>
      <c r="I44">
        <v>4.4000000000000004</v>
      </c>
      <c r="J44">
        <v>56</v>
      </c>
      <c r="K44">
        <v>1.9</v>
      </c>
      <c r="L44">
        <v>95</v>
      </c>
      <c r="M44">
        <v>9.5</v>
      </c>
      <c r="N44">
        <v>178</v>
      </c>
      <c r="O44">
        <v>1.133</v>
      </c>
      <c r="P44">
        <v>68</v>
      </c>
      <c r="Q44">
        <v>0.97099999999999997</v>
      </c>
      <c r="R44">
        <v>158</v>
      </c>
      <c r="S44">
        <v>0.5</v>
      </c>
      <c r="T44">
        <v>292</v>
      </c>
      <c r="U44">
        <v>0.93100000000000005</v>
      </c>
      <c r="V44">
        <v>174</v>
      </c>
      <c r="W44">
        <v>0.95499999999999996</v>
      </c>
      <c r="X44">
        <v>52</v>
      </c>
      <c r="Y44">
        <v>1.105</v>
      </c>
      <c r="Z44">
        <v>207</v>
      </c>
      <c r="AA44">
        <v>1.0489999999999999</v>
      </c>
      <c r="AB44">
        <v>38</v>
      </c>
      <c r="AC44" s="21">
        <v>0.54900000000000004</v>
      </c>
      <c r="AD44" s="21">
        <v>0.51600000000000001</v>
      </c>
      <c r="AE44">
        <v>80</v>
      </c>
      <c r="AF44">
        <v>192</v>
      </c>
      <c r="AG44" s="21">
        <v>0.51100000000000001</v>
      </c>
      <c r="AH44">
        <v>12</v>
      </c>
      <c r="AI44">
        <v>24.588000000000001</v>
      </c>
      <c r="AJ44">
        <v>248</v>
      </c>
      <c r="AK44" s="21">
        <v>0.25800000000000001</v>
      </c>
      <c r="AL44">
        <v>137</v>
      </c>
      <c r="AM44" s="21">
        <v>0.32900000000000001</v>
      </c>
      <c r="AN44">
        <v>35</v>
      </c>
      <c r="AO44" s="21">
        <v>0.37</v>
      </c>
      <c r="AP44">
        <v>22</v>
      </c>
      <c r="AQ44" s="21">
        <v>0.30499999999999999</v>
      </c>
      <c r="AR44">
        <v>254</v>
      </c>
      <c r="AS44" s="21">
        <v>0.251</v>
      </c>
      <c r="AT44">
        <v>288</v>
      </c>
      <c r="AU44" s="21">
        <v>0.69899999999999995</v>
      </c>
      <c r="AV44">
        <v>118</v>
      </c>
      <c r="AW44">
        <v>71.400000000000006</v>
      </c>
      <c r="AX44">
        <v>191</v>
      </c>
      <c r="AY44" s="21">
        <v>0.16900000000000001</v>
      </c>
      <c r="AZ44">
        <v>101</v>
      </c>
      <c r="BA44" s="21">
        <v>0.17799999999999999</v>
      </c>
    </row>
    <row r="45" spans="1:53" x14ac:dyDescent="0.25">
      <c r="A45" s="1" t="s">
        <v>156</v>
      </c>
      <c r="B45">
        <v>44</v>
      </c>
      <c r="C45">
        <v>12.7</v>
      </c>
      <c r="D45">
        <v>39</v>
      </c>
      <c r="E45">
        <v>14.6</v>
      </c>
      <c r="F45">
        <v>73</v>
      </c>
      <c r="G45">
        <v>6.2</v>
      </c>
      <c r="H45">
        <v>34</v>
      </c>
      <c r="I45">
        <v>6.1</v>
      </c>
      <c r="J45">
        <v>54</v>
      </c>
      <c r="K45">
        <v>1.9</v>
      </c>
      <c r="L45">
        <v>124</v>
      </c>
      <c r="M45">
        <v>9.8000000000000007</v>
      </c>
      <c r="N45">
        <v>95</v>
      </c>
      <c r="O45">
        <v>1.2809999999999999</v>
      </c>
      <c r="P45">
        <v>74</v>
      </c>
      <c r="Q45">
        <v>0.98099999999999998</v>
      </c>
      <c r="R45">
        <v>77</v>
      </c>
      <c r="S45">
        <v>0.625</v>
      </c>
      <c r="T45">
        <v>70</v>
      </c>
      <c r="U45">
        <v>0.98</v>
      </c>
      <c r="V45">
        <v>10</v>
      </c>
      <c r="W45">
        <v>0.89800000000000002</v>
      </c>
      <c r="X45">
        <v>127</v>
      </c>
      <c r="Y45">
        <v>1.0589999999999999</v>
      </c>
      <c r="Z45">
        <v>14</v>
      </c>
      <c r="AA45">
        <v>0.93700000000000006</v>
      </c>
      <c r="AB45">
        <v>176</v>
      </c>
      <c r="AC45" s="21">
        <v>0.50800000000000001</v>
      </c>
      <c r="AD45" s="21">
        <v>0.505</v>
      </c>
      <c r="AE45">
        <v>123</v>
      </c>
      <c r="AF45">
        <v>97</v>
      </c>
      <c r="AG45" s="21">
        <v>0.49199999999999999</v>
      </c>
      <c r="AH45">
        <v>91</v>
      </c>
      <c r="AI45">
        <v>21.47</v>
      </c>
      <c r="AJ45">
        <v>194</v>
      </c>
      <c r="AK45" s="21">
        <v>0.245</v>
      </c>
      <c r="AL45">
        <v>319</v>
      </c>
      <c r="AM45" s="21">
        <v>0.25800000000000001</v>
      </c>
      <c r="AN45">
        <v>163</v>
      </c>
      <c r="AO45" s="21">
        <v>0.34100000000000003</v>
      </c>
      <c r="AP45">
        <v>186</v>
      </c>
      <c r="AQ45" s="21">
        <v>0.33800000000000002</v>
      </c>
      <c r="AR45">
        <v>139</v>
      </c>
      <c r="AS45" s="21">
        <v>0.28899999999999998</v>
      </c>
      <c r="AT45">
        <v>10</v>
      </c>
      <c r="AU45" s="21">
        <v>0.77500000000000002</v>
      </c>
      <c r="AV45">
        <v>6</v>
      </c>
      <c r="AW45">
        <v>75.5</v>
      </c>
      <c r="AX45">
        <v>60</v>
      </c>
      <c r="AY45" s="21">
        <v>0.151</v>
      </c>
      <c r="AZ45">
        <v>36</v>
      </c>
      <c r="BA45" s="21">
        <v>0.19900000000000001</v>
      </c>
    </row>
    <row r="46" spans="1:53" x14ac:dyDescent="0.25">
      <c r="A46" s="1" t="s">
        <v>87</v>
      </c>
      <c r="B46">
        <v>45</v>
      </c>
      <c r="C46">
        <v>12.5</v>
      </c>
      <c r="D46">
        <v>115</v>
      </c>
      <c r="E46">
        <v>4.5999999999999996</v>
      </c>
      <c r="F46">
        <v>35</v>
      </c>
      <c r="G46">
        <v>10.8</v>
      </c>
      <c r="H46">
        <v>45</v>
      </c>
      <c r="I46">
        <v>4.3</v>
      </c>
      <c r="J46">
        <v>117</v>
      </c>
      <c r="K46">
        <v>0.9</v>
      </c>
      <c r="L46">
        <v>187</v>
      </c>
      <c r="M46">
        <v>10.4</v>
      </c>
      <c r="N46">
        <v>56</v>
      </c>
      <c r="O46">
        <v>1.3720000000000001</v>
      </c>
      <c r="P46">
        <v>215</v>
      </c>
      <c r="Q46">
        <v>1.179</v>
      </c>
      <c r="R46">
        <v>239</v>
      </c>
      <c r="S46">
        <v>0.42899999999999999</v>
      </c>
      <c r="T46">
        <v>132</v>
      </c>
      <c r="U46">
        <v>0.96499999999999997</v>
      </c>
      <c r="V46">
        <v>170</v>
      </c>
      <c r="W46">
        <v>0.95499999999999996</v>
      </c>
      <c r="X46">
        <v>152</v>
      </c>
      <c r="Y46">
        <v>1.0489999999999999</v>
      </c>
      <c r="Z46">
        <v>111</v>
      </c>
      <c r="AA46">
        <v>1.012</v>
      </c>
      <c r="AB46">
        <v>155</v>
      </c>
      <c r="AC46" s="21">
        <v>0.51100000000000001</v>
      </c>
      <c r="AD46" s="21">
        <v>0.48699999999999999</v>
      </c>
      <c r="AE46">
        <v>223</v>
      </c>
      <c r="AF46">
        <v>125</v>
      </c>
      <c r="AG46" s="21">
        <v>0.498</v>
      </c>
      <c r="AH46">
        <v>188</v>
      </c>
      <c r="AI46">
        <v>19.501000000000001</v>
      </c>
      <c r="AJ46">
        <v>98</v>
      </c>
      <c r="AK46" s="21">
        <v>0.222</v>
      </c>
      <c r="AL46">
        <v>323</v>
      </c>
      <c r="AM46" s="21">
        <v>0.255</v>
      </c>
      <c r="AN46">
        <v>262</v>
      </c>
      <c r="AO46" s="21">
        <v>0.32100000000000001</v>
      </c>
      <c r="AP46">
        <v>110</v>
      </c>
      <c r="AQ46" s="21">
        <v>0.32700000000000001</v>
      </c>
      <c r="AR46">
        <v>133</v>
      </c>
      <c r="AS46" s="21">
        <v>0.29099999999999998</v>
      </c>
      <c r="AT46">
        <v>86</v>
      </c>
      <c r="AU46" s="21">
        <v>0.74299999999999999</v>
      </c>
      <c r="AV46">
        <v>130</v>
      </c>
      <c r="AW46">
        <v>71.2</v>
      </c>
      <c r="AX46">
        <v>150</v>
      </c>
      <c r="AY46" s="21">
        <v>0.16300000000000001</v>
      </c>
      <c r="AZ46">
        <v>240</v>
      </c>
      <c r="BA46" s="21">
        <v>0.159</v>
      </c>
    </row>
    <row r="47" spans="1:53" x14ac:dyDescent="0.25">
      <c r="A47" s="1" t="s">
        <v>70</v>
      </c>
      <c r="B47">
        <v>46</v>
      </c>
      <c r="C47">
        <v>12.2</v>
      </c>
      <c r="D47">
        <v>67</v>
      </c>
      <c r="E47">
        <v>11</v>
      </c>
      <c r="F47">
        <v>59</v>
      </c>
      <c r="G47">
        <v>8.6</v>
      </c>
      <c r="H47">
        <v>65</v>
      </c>
      <c r="I47">
        <v>3</v>
      </c>
      <c r="J47">
        <v>311</v>
      </c>
      <c r="K47">
        <v>-2</v>
      </c>
      <c r="L47">
        <v>243</v>
      </c>
      <c r="M47">
        <v>10.8</v>
      </c>
      <c r="N47">
        <v>103</v>
      </c>
      <c r="O47">
        <v>1.2589999999999999</v>
      </c>
      <c r="P47">
        <v>327</v>
      </c>
      <c r="Q47">
        <v>1.4179999999999999</v>
      </c>
      <c r="R47">
        <v>158</v>
      </c>
      <c r="S47">
        <v>0.5</v>
      </c>
      <c r="T47">
        <v>125</v>
      </c>
      <c r="U47">
        <v>0.96599999999999997</v>
      </c>
      <c r="V47">
        <v>194</v>
      </c>
      <c r="W47">
        <v>0.95899999999999996</v>
      </c>
      <c r="X47">
        <v>29</v>
      </c>
      <c r="Y47">
        <v>1.1259999999999999</v>
      </c>
      <c r="Z47">
        <v>175</v>
      </c>
      <c r="AA47">
        <v>1.0349999999999999</v>
      </c>
      <c r="AB47">
        <v>39</v>
      </c>
      <c r="AC47" s="21">
        <v>0.54900000000000004</v>
      </c>
      <c r="AD47" s="21">
        <v>0.51</v>
      </c>
      <c r="AE47">
        <v>98</v>
      </c>
      <c r="AF47">
        <v>193</v>
      </c>
      <c r="AG47" s="21">
        <v>0.51100000000000001</v>
      </c>
      <c r="AH47">
        <v>184</v>
      </c>
      <c r="AI47">
        <v>19.574000000000002</v>
      </c>
      <c r="AJ47">
        <v>118</v>
      </c>
      <c r="AK47" s="21">
        <v>0.22700000000000001</v>
      </c>
      <c r="AL47">
        <v>21</v>
      </c>
      <c r="AM47" s="21">
        <v>0.39200000000000002</v>
      </c>
      <c r="AN47">
        <v>2</v>
      </c>
      <c r="AO47" s="21">
        <v>0.39800000000000002</v>
      </c>
      <c r="AP47">
        <v>241</v>
      </c>
      <c r="AQ47" s="21">
        <v>0.34699999999999998</v>
      </c>
      <c r="AR47">
        <v>168</v>
      </c>
      <c r="AS47" s="21">
        <v>0.28100000000000003</v>
      </c>
      <c r="AT47">
        <v>50</v>
      </c>
      <c r="AU47" s="21">
        <v>0.753</v>
      </c>
      <c r="AV47">
        <v>360</v>
      </c>
      <c r="AW47">
        <v>65.2</v>
      </c>
      <c r="AX47">
        <v>70</v>
      </c>
      <c r="AY47" s="21">
        <v>0.152</v>
      </c>
      <c r="AZ47">
        <v>267</v>
      </c>
      <c r="BA47" s="21">
        <v>0.156</v>
      </c>
    </row>
    <row r="48" spans="1:53" x14ac:dyDescent="0.25">
      <c r="A48" s="1" t="s">
        <v>527</v>
      </c>
      <c r="B48">
        <v>47</v>
      </c>
      <c r="C48">
        <v>12.1</v>
      </c>
      <c r="D48">
        <v>31</v>
      </c>
      <c r="E48">
        <v>15.9</v>
      </c>
      <c r="F48">
        <v>32</v>
      </c>
      <c r="G48">
        <v>11.2</v>
      </c>
      <c r="H48">
        <v>42</v>
      </c>
      <c r="I48">
        <v>4.9000000000000004</v>
      </c>
      <c r="J48">
        <v>59</v>
      </c>
      <c r="K48">
        <v>1.8</v>
      </c>
      <c r="L48">
        <v>265</v>
      </c>
      <c r="M48">
        <v>11</v>
      </c>
      <c r="N48">
        <v>93</v>
      </c>
      <c r="O48">
        <v>1.2849999999999999</v>
      </c>
      <c r="P48">
        <v>13</v>
      </c>
      <c r="Q48">
        <v>0.82</v>
      </c>
      <c r="R48">
        <v>158</v>
      </c>
      <c r="S48">
        <v>0.5</v>
      </c>
      <c r="T48">
        <v>190</v>
      </c>
      <c r="U48">
        <v>0.95399999999999996</v>
      </c>
      <c r="V48">
        <v>121</v>
      </c>
      <c r="W48">
        <v>0.94699999999999995</v>
      </c>
      <c r="X48">
        <v>255</v>
      </c>
      <c r="Y48">
        <v>1.0069999999999999</v>
      </c>
      <c r="Z48">
        <v>21</v>
      </c>
      <c r="AA48">
        <v>0.95699999999999996</v>
      </c>
      <c r="AB48">
        <v>224</v>
      </c>
      <c r="AC48" s="21">
        <v>0.5</v>
      </c>
      <c r="AD48" s="21">
        <v>0.47699999999999998</v>
      </c>
      <c r="AE48">
        <v>266</v>
      </c>
      <c r="AF48">
        <v>18</v>
      </c>
      <c r="AG48" s="21">
        <v>0.46300000000000002</v>
      </c>
      <c r="AH48">
        <v>338</v>
      </c>
      <c r="AI48">
        <v>15.694000000000001</v>
      </c>
      <c r="AJ48">
        <v>137</v>
      </c>
      <c r="AK48" s="21">
        <v>0.23300000000000001</v>
      </c>
      <c r="AL48">
        <v>38</v>
      </c>
      <c r="AM48" s="21">
        <v>0.38100000000000001</v>
      </c>
      <c r="AN48">
        <v>234</v>
      </c>
      <c r="AO48" s="21">
        <v>0.32600000000000001</v>
      </c>
      <c r="AP48">
        <v>9</v>
      </c>
      <c r="AQ48" s="21">
        <v>0.29699999999999999</v>
      </c>
      <c r="AR48">
        <v>292</v>
      </c>
      <c r="AS48" s="21">
        <v>0.23899999999999999</v>
      </c>
      <c r="AT48">
        <v>258</v>
      </c>
      <c r="AU48" s="21">
        <v>0.70799999999999996</v>
      </c>
      <c r="AV48">
        <v>301</v>
      </c>
      <c r="AW48">
        <v>67.7</v>
      </c>
      <c r="AX48">
        <v>118</v>
      </c>
      <c r="AY48" s="21">
        <v>0.159</v>
      </c>
      <c r="AZ48">
        <v>63</v>
      </c>
      <c r="BA48" s="21">
        <v>0.189</v>
      </c>
    </row>
    <row r="49" spans="1:53" x14ac:dyDescent="0.25">
      <c r="A49" s="1" t="s">
        <v>168</v>
      </c>
      <c r="B49">
        <v>48</v>
      </c>
      <c r="C49">
        <v>12.1</v>
      </c>
      <c r="D49">
        <v>54</v>
      </c>
      <c r="E49">
        <v>11.8</v>
      </c>
      <c r="F49">
        <v>40</v>
      </c>
      <c r="G49">
        <v>10.199999999999999</v>
      </c>
      <c r="H49">
        <v>80</v>
      </c>
      <c r="I49">
        <v>1.7</v>
      </c>
      <c r="J49">
        <v>309</v>
      </c>
      <c r="K49">
        <v>-1.9</v>
      </c>
      <c r="L49">
        <v>48</v>
      </c>
      <c r="M49">
        <v>8.9</v>
      </c>
      <c r="N49">
        <v>32</v>
      </c>
      <c r="O49">
        <v>1.4590000000000001</v>
      </c>
      <c r="P49">
        <v>150</v>
      </c>
      <c r="Q49">
        <v>1.077</v>
      </c>
      <c r="R49">
        <v>261</v>
      </c>
      <c r="S49">
        <v>0.38500000000000001</v>
      </c>
      <c r="T49">
        <v>45</v>
      </c>
      <c r="U49">
        <v>0.98799999999999999</v>
      </c>
      <c r="V49">
        <v>36</v>
      </c>
      <c r="W49">
        <v>0.92300000000000004</v>
      </c>
      <c r="X49">
        <v>148</v>
      </c>
      <c r="Y49">
        <v>1.0509999999999999</v>
      </c>
      <c r="Z49">
        <v>94</v>
      </c>
      <c r="AA49">
        <v>1.004</v>
      </c>
      <c r="AB49">
        <v>236</v>
      </c>
      <c r="AC49" s="21">
        <v>0.498</v>
      </c>
      <c r="AD49" s="21">
        <v>0.49099999999999999</v>
      </c>
      <c r="AE49">
        <v>200</v>
      </c>
      <c r="AF49">
        <v>131</v>
      </c>
      <c r="AG49" s="21">
        <v>0.499</v>
      </c>
      <c r="AH49">
        <v>178</v>
      </c>
      <c r="AI49">
        <v>19.702000000000002</v>
      </c>
      <c r="AJ49">
        <v>250</v>
      </c>
      <c r="AK49" s="21">
        <v>0.25800000000000001</v>
      </c>
      <c r="AL49">
        <v>288</v>
      </c>
      <c r="AM49" s="21">
        <v>0.27900000000000003</v>
      </c>
      <c r="AN49">
        <v>205</v>
      </c>
      <c r="AO49" s="21">
        <v>0.33200000000000002</v>
      </c>
      <c r="AP49">
        <v>181</v>
      </c>
      <c r="AQ49" s="21">
        <v>0.33800000000000002</v>
      </c>
      <c r="AR49">
        <v>153</v>
      </c>
      <c r="AS49" s="21">
        <v>0.28599999999999998</v>
      </c>
      <c r="AT49">
        <v>156</v>
      </c>
      <c r="AU49" s="21">
        <v>0.72899999999999998</v>
      </c>
      <c r="AV49">
        <v>241</v>
      </c>
      <c r="AW49">
        <v>68.900000000000006</v>
      </c>
      <c r="AX49">
        <v>34</v>
      </c>
      <c r="AY49" s="21">
        <v>0.14499999999999999</v>
      </c>
      <c r="AZ49">
        <v>52</v>
      </c>
      <c r="BA49" s="21">
        <v>0.193</v>
      </c>
    </row>
    <row r="50" spans="1:53" x14ac:dyDescent="0.25">
      <c r="A50" s="1" t="s">
        <v>224</v>
      </c>
      <c r="B50">
        <v>49</v>
      </c>
      <c r="C50">
        <v>11.9</v>
      </c>
      <c r="D50">
        <v>49</v>
      </c>
      <c r="E50">
        <v>12.4</v>
      </c>
      <c r="F50">
        <v>60</v>
      </c>
      <c r="G50">
        <v>8.4</v>
      </c>
      <c r="H50">
        <v>32</v>
      </c>
      <c r="I50">
        <v>6.2</v>
      </c>
      <c r="J50">
        <v>349</v>
      </c>
      <c r="K50">
        <v>-3.1</v>
      </c>
      <c r="L50">
        <v>338</v>
      </c>
      <c r="M50">
        <v>12.2</v>
      </c>
      <c r="N50">
        <v>64</v>
      </c>
      <c r="O50">
        <v>1.345</v>
      </c>
      <c r="P50">
        <v>132</v>
      </c>
      <c r="Q50">
        <v>1.0529999999999999</v>
      </c>
      <c r="R50">
        <v>279</v>
      </c>
      <c r="S50">
        <v>0.33300000000000002</v>
      </c>
      <c r="T50">
        <v>78</v>
      </c>
      <c r="U50">
        <v>0.97699999999999998</v>
      </c>
      <c r="V50">
        <v>75</v>
      </c>
      <c r="W50">
        <v>0.93700000000000006</v>
      </c>
      <c r="X50">
        <v>60</v>
      </c>
      <c r="Y50">
        <v>1.0980000000000001</v>
      </c>
      <c r="Z50">
        <v>153</v>
      </c>
      <c r="AA50">
        <v>1.0249999999999999</v>
      </c>
      <c r="AB50">
        <v>107</v>
      </c>
      <c r="AC50" s="21">
        <v>0.52200000000000002</v>
      </c>
      <c r="AD50" s="21">
        <v>0.46300000000000002</v>
      </c>
      <c r="AE50">
        <v>312</v>
      </c>
      <c r="AF50">
        <v>189</v>
      </c>
      <c r="AG50" s="21">
        <v>0.51100000000000001</v>
      </c>
      <c r="AH50">
        <v>56</v>
      </c>
      <c r="AI50">
        <v>22.385999999999999</v>
      </c>
      <c r="AJ50">
        <v>161</v>
      </c>
      <c r="AK50" s="21">
        <v>0.24</v>
      </c>
      <c r="AL50">
        <v>143</v>
      </c>
      <c r="AM50" s="21">
        <v>0.32700000000000001</v>
      </c>
      <c r="AN50">
        <v>136</v>
      </c>
      <c r="AO50" s="21">
        <v>0.34599999999999997</v>
      </c>
      <c r="AP50">
        <v>236</v>
      </c>
      <c r="AQ50" s="21">
        <v>0.34699999999999998</v>
      </c>
      <c r="AR50">
        <v>203</v>
      </c>
      <c r="AS50" s="21">
        <v>0.27200000000000002</v>
      </c>
      <c r="AT50">
        <v>114</v>
      </c>
      <c r="AU50" s="21">
        <v>0.73599999999999999</v>
      </c>
      <c r="AV50">
        <v>231</v>
      </c>
      <c r="AW50">
        <v>69.099999999999994</v>
      </c>
      <c r="AX50">
        <v>31</v>
      </c>
      <c r="AY50" s="21">
        <v>0.14399999999999999</v>
      </c>
      <c r="AZ50">
        <v>99</v>
      </c>
      <c r="BA50" s="21">
        <v>0.17899999999999999</v>
      </c>
    </row>
    <row r="51" spans="1:53" x14ac:dyDescent="0.25">
      <c r="A51" s="1" t="s">
        <v>443</v>
      </c>
      <c r="B51">
        <v>50</v>
      </c>
      <c r="C51">
        <v>11.8</v>
      </c>
      <c r="D51">
        <v>77</v>
      </c>
      <c r="E51">
        <v>9.9</v>
      </c>
      <c r="F51">
        <v>83</v>
      </c>
      <c r="G51">
        <v>5.5</v>
      </c>
      <c r="H51">
        <v>56</v>
      </c>
      <c r="I51">
        <v>3.4</v>
      </c>
      <c r="J51">
        <v>47</v>
      </c>
      <c r="K51">
        <v>2.1</v>
      </c>
      <c r="L51">
        <v>315</v>
      </c>
      <c r="M51">
        <v>11.6</v>
      </c>
      <c r="N51">
        <v>12</v>
      </c>
      <c r="O51">
        <v>1.587</v>
      </c>
      <c r="P51">
        <v>119</v>
      </c>
      <c r="Q51">
        <v>1.032</v>
      </c>
      <c r="R51">
        <v>36</v>
      </c>
      <c r="S51">
        <v>0.72699999999999998</v>
      </c>
      <c r="T51">
        <v>65</v>
      </c>
      <c r="U51">
        <v>0.98099999999999998</v>
      </c>
      <c r="V51">
        <v>32</v>
      </c>
      <c r="W51">
        <v>0.92100000000000004</v>
      </c>
      <c r="X51">
        <v>10</v>
      </c>
      <c r="Y51">
        <v>1.1519999999999999</v>
      </c>
      <c r="Z51">
        <v>133</v>
      </c>
      <c r="AA51">
        <v>1.018</v>
      </c>
      <c r="AB51">
        <v>21</v>
      </c>
      <c r="AC51" s="21">
        <v>0.56000000000000005</v>
      </c>
      <c r="AD51" s="21">
        <v>0.53200000000000003</v>
      </c>
      <c r="AE51">
        <v>44</v>
      </c>
      <c r="AF51">
        <v>232</v>
      </c>
      <c r="AG51" s="21">
        <v>0.51800000000000002</v>
      </c>
      <c r="AH51">
        <v>68</v>
      </c>
      <c r="AI51">
        <v>21.981999999999999</v>
      </c>
      <c r="AJ51">
        <v>232</v>
      </c>
      <c r="AK51" s="21">
        <v>0.254</v>
      </c>
      <c r="AL51">
        <v>140</v>
      </c>
      <c r="AM51" s="21">
        <v>0.32800000000000001</v>
      </c>
      <c r="AN51">
        <v>69</v>
      </c>
      <c r="AO51" s="21">
        <v>0.35799999999999998</v>
      </c>
      <c r="AP51">
        <v>178</v>
      </c>
      <c r="AQ51" s="21">
        <v>0.33800000000000002</v>
      </c>
      <c r="AR51">
        <v>70</v>
      </c>
      <c r="AS51" s="21">
        <v>0.32100000000000001</v>
      </c>
      <c r="AT51">
        <v>161</v>
      </c>
      <c r="AU51" s="21">
        <v>0.72699999999999998</v>
      </c>
      <c r="AV51">
        <v>226</v>
      </c>
      <c r="AW51">
        <v>69.2</v>
      </c>
      <c r="AX51">
        <v>91</v>
      </c>
      <c r="AY51" s="21">
        <v>0.155</v>
      </c>
      <c r="AZ51">
        <v>40</v>
      </c>
      <c r="BA51" s="21">
        <v>0.19700000000000001</v>
      </c>
    </row>
    <row r="52" spans="1:53" x14ac:dyDescent="0.25">
      <c r="A52" s="1" t="s">
        <v>445</v>
      </c>
      <c r="B52">
        <v>51</v>
      </c>
      <c r="C52">
        <v>11.7</v>
      </c>
      <c r="D52">
        <v>28</v>
      </c>
      <c r="E52">
        <v>16.2</v>
      </c>
      <c r="F52">
        <v>118</v>
      </c>
      <c r="G52">
        <v>0.4</v>
      </c>
      <c r="H52">
        <v>93</v>
      </c>
      <c r="I52">
        <v>0.9</v>
      </c>
      <c r="J52">
        <v>123</v>
      </c>
      <c r="K52">
        <v>0.8</v>
      </c>
      <c r="L52">
        <v>293</v>
      </c>
      <c r="M52">
        <v>11.3</v>
      </c>
      <c r="N52">
        <v>5</v>
      </c>
      <c r="O52">
        <v>1.6910000000000001</v>
      </c>
      <c r="P52">
        <v>1</v>
      </c>
      <c r="Q52">
        <v>0.71399999999999997</v>
      </c>
      <c r="R52">
        <v>158</v>
      </c>
      <c r="S52">
        <v>0.5</v>
      </c>
      <c r="T52">
        <v>113</v>
      </c>
      <c r="U52">
        <v>0.96799999999999997</v>
      </c>
      <c r="V52">
        <v>2</v>
      </c>
      <c r="W52">
        <v>0.879</v>
      </c>
      <c r="X52">
        <v>22</v>
      </c>
      <c r="Y52">
        <v>1.131</v>
      </c>
      <c r="Z52">
        <v>4</v>
      </c>
      <c r="AA52">
        <v>0.91200000000000003</v>
      </c>
      <c r="AB52">
        <v>32</v>
      </c>
      <c r="AC52" s="21">
        <v>0.55400000000000005</v>
      </c>
      <c r="AD52" s="21">
        <v>0.55100000000000005</v>
      </c>
      <c r="AE52">
        <v>13</v>
      </c>
      <c r="AF52">
        <v>43</v>
      </c>
      <c r="AG52" s="21">
        <v>0.47699999999999998</v>
      </c>
      <c r="AH52">
        <v>118</v>
      </c>
      <c r="AI52">
        <v>20.946000000000002</v>
      </c>
      <c r="AJ52">
        <v>50</v>
      </c>
      <c r="AK52" s="21">
        <v>0.20799999999999999</v>
      </c>
      <c r="AL52">
        <v>15</v>
      </c>
      <c r="AM52" s="21">
        <v>0.39900000000000002</v>
      </c>
      <c r="AN52">
        <v>57</v>
      </c>
      <c r="AO52" s="21">
        <v>0.36499999999999999</v>
      </c>
      <c r="AP52">
        <v>127</v>
      </c>
      <c r="AQ52" s="21">
        <v>0.33100000000000002</v>
      </c>
      <c r="AR52">
        <v>316</v>
      </c>
      <c r="AS52" s="21">
        <v>0.22800000000000001</v>
      </c>
      <c r="AT52">
        <v>51</v>
      </c>
      <c r="AU52" s="21">
        <v>0.752</v>
      </c>
      <c r="AV52">
        <v>239</v>
      </c>
      <c r="AW52">
        <v>68.900000000000006</v>
      </c>
      <c r="AX52">
        <v>7</v>
      </c>
      <c r="AY52" s="21">
        <v>0.13100000000000001</v>
      </c>
      <c r="AZ52">
        <v>4</v>
      </c>
      <c r="BA52" s="21">
        <v>0.22700000000000001</v>
      </c>
    </row>
    <row r="53" spans="1:53" x14ac:dyDescent="0.25">
      <c r="A53" s="1" t="s">
        <v>444</v>
      </c>
      <c r="B53">
        <v>52</v>
      </c>
      <c r="C53">
        <v>11.6</v>
      </c>
      <c r="D53">
        <v>26</v>
      </c>
      <c r="E53">
        <v>16.399999999999999</v>
      </c>
      <c r="F53">
        <v>57</v>
      </c>
      <c r="G53">
        <v>8.9</v>
      </c>
      <c r="H53">
        <v>127</v>
      </c>
      <c r="I53">
        <v>-0.7</v>
      </c>
      <c r="J53">
        <v>338</v>
      </c>
      <c r="K53">
        <v>-2.7</v>
      </c>
      <c r="L53">
        <v>342</v>
      </c>
      <c r="M53">
        <v>12.3</v>
      </c>
      <c r="N53">
        <v>89</v>
      </c>
      <c r="O53">
        <v>1.292</v>
      </c>
      <c r="P53">
        <v>231</v>
      </c>
      <c r="Q53">
        <v>1.2</v>
      </c>
      <c r="R53">
        <v>348</v>
      </c>
      <c r="S53">
        <v>0.111</v>
      </c>
      <c r="T53">
        <v>265</v>
      </c>
      <c r="U53">
        <v>0.93700000000000006</v>
      </c>
      <c r="V53">
        <v>34</v>
      </c>
      <c r="W53">
        <v>0.92200000000000004</v>
      </c>
      <c r="X53">
        <v>71</v>
      </c>
      <c r="Y53">
        <v>1.089</v>
      </c>
      <c r="Z53">
        <v>103</v>
      </c>
      <c r="AA53">
        <v>1.0089999999999999</v>
      </c>
      <c r="AB53">
        <v>54</v>
      </c>
      <c r="AC53" s="21">
        <v>0.54100000000000004</v>
      </c>
      <c r="AD53" s="21">
        <v>0.52200000000000002</v>
      </c>
      <c r="AE53">
        <v>60</v>
      </c>
      <c r="AF53">
        <v>237</v>
      </c>
      <c r="AG53" s="21">
        <v>0.51900000000000002</v>
      </c>
      <c r="AH53">
        <v>43</v>
      </c>
      <c r="AI53">
        <v>22.838999999999999</v>
      </c>
      <c r="AJ53">
        <v>61</v>
      </c>
      <c r="AK53" s="21">
        <v>0.21199999999999999</v>
      </c>
      <c r="AL53">
        <v>300</v>
      </c>
      <c r="AM53" s="21">
        <v>0.27200000000000002</v>
      </c>
      <c r="AN53">
        <v>151</v>
      </c>
      <c r="AO53" s="21">
        <v>0.34300000000000003</v>
      </c>
      <c r="AP53">
        <v>272</v>
      </c>
      <c r="AQ53" s="21">
        <v>0.35299999999999998</v>
      </c>
      <c r="AR53">
        <v>228</v>
      </c>
      <c r="AS53" s="21">
        <v>0.26200000000000001</v>
      </c>
      <c r="AT53">
        <v>135</v>
      </c>
      <c r="AU53" s="21">
        <v>0.73199999999999998</v>
      </c>
      <c r="AV53">
        <v>61</v>
      </c>
      <c r="AW53">
        <v>72.599999999999994</v>
      </c>
      <c r="AX53">
        <v>202</v>
      </c>
      <c r="AY53" s="21">
        <v>0.17100000000000001</v>
      </c>
      <c r="AZ53">
        <v>50</v>
      </c>
      <c r="BA53" s="21">
        <v>0.19400000000000001</v>
      </c>
    </row>
    <row r="54" spans="1:53" x14ac:dyDescent="0.25">
      <c r="A54" s="1" t="s">
        <v>51</v>
      </c>
      <c r="B54">
        <v>53</v>
      </c>
      <c r="C54">
        <v>11.6</v>
      </c>
      <c r="D54">
        <v>42</v>
      </c>
      <c r="E54">
        <v>13.7</v>
      </c>
      <c r="F54">
        <v>75</v>
      </c>
      <c r="G54">
        <v>6</v>
      </c>
      <c r="H54">
        <v>8</v>
      </c>
      <c r="I54">
        <v>11.1</v>
      </c>
      <c r="J54">
        <v>2</v>
      </c>
      <c r="K54">
        <v>5.0999999999999996</v>
      </c>
      <c r="L54">
        <v>149</v>
      </c>
      <c r="M54">
        <v>10</v>
      </c>
      <c r="N54">
        <v>216</v>
      </c>
      <c r="O54">
        <v>1.0569999999999999</v>
      </c>
      <c r="P54">
        <v>98</v>
      </c>
      <c r="Q54">
        <v>1</v>
      </c>
      <c r="R54">
        <v>1</v>
      </c>
      <c r="S54">
        <v>0.90900000000000003</v>
      </c>
      <c r="T54">
        <v>177</v>
      </c>
      <c r="U54">
        <v>0.95699999999999996</v>
      </c>
      <c r="V54">
        <v>140</v>
      </c>
      <c r="W54">
        <v>0.95</v>
      </c>
      <c r="X54">
        <v>75</v>
      </c>
      <c r="Y54">
        <v>1.085</v>
      </c>
      <c r="Z54">
        <v>73</v>
      </c>
      <c r="AA54">
        <v>0.99199999999999999</v>
      </c>
      <c r="AB54">
        <v>63</v>
      </c>
      <c r="AC54" s="21">
        <v>0.53600000000000003</v>
      </c>
      <c r="AD54" s="21">
        <v>0.52800000000000002</v>
      </c>
      <c r="AE54">
        <v>52</v>
      </c>
      <c r="AF54">
        <v>69</v>
      </c>
      <c r="AG54" s="21">
        <v>0.48499999999999999</v>
      </c>
      <c r="AH54">
        <v>59</v>
      </c>
      <c r="AI54">
        <v>22.266999999999999</v>
      </c>
      <c r="AJ54">
        <v>177</v>
      </c>
      <c r="AK54" s="21">
        <v>0.24299999999999999</v>
      </c>
      <c r="AL54">
        <v>284</v>
      </c>
      <c r="AM54" s="21">
        <v>0.28000000000000003</v>
      </c>
      <c r="AN54">
        <v>17</v>
      </c>
      <c r="AO54" s="21">
        <v>0.38</v>
      </c>
      <c r="AP54">
        <v>85</v>
      </c>
      <c r="AQ54" s="21">
        <v>0.32200000000000001</v>
      </c>
      <c r="AR54">
        <v>27</v>
      </c>
      <c r="AS54" s="21">
        <v>0.33800000000000002</v>
      </c>
      <c r="AT54">
        <v>277</v>
      </c>
      <c r="AU54" s="21">
        <v>0.70199999999999996</v>
      </c>
      <c r="AV54">
        <v>26</v>
      </c>
      <c r="AW54">
        <v>73.8</v>
      </c>
      <c r="AX54">
        <v>305</v>
      </c>
      <c r="AY54" s="21">
        <v>0.187</v>
      </c>
      <c r="AZ54">
        <v>71</v>
      </c>
      <c r="BA54" s="21">
        <v>0.186</v>
      </c>
    </row>
    <row r="55" spans="1:53" x14ac:dyDescent="0.25">
      <c r="A55" s="1" t="s">
        <v>17</v>
      </c>
      <c r="B55">
        <v>54</v>
      </c>
      <c r="C55">
        <v>11.5</v>
      </c>
      <c r="D55">
        <v>58</v>
      </c>
      <c r="E55">
        <v>11.5</v>
      </c>
      <c r="F55">
        <v>77</v>
      </c>
      <c r="G55">
        <v>5.9</v>
      </c>
      <c r="H55">
        <v>46</v>
      </c>
      <c r="I55">
        <v>4.2</v>
      </c>
      <c r="J55">
        <v>102</v>
      </c>
      <c r="K55">
        <v>1.1000000000000001</v>
      </c>
      <c r="L55">
        <v>283</v>
      </c>
      <c r="M55">
        <v>11.2</v>
      </c>
      <c r="N55">
        <v>40</v>
      </c>
      <c r="O55">
        <v>1.427</v>
      </c>
      <c r="P55">
        <v>89</v>
      </c>
      <c r="Q55">
        <v>0.995</v>
      </c>
      <c r="R55">
        <v>10</v>
      </c>
      <c r="S55">
        <v>0.83299999999999996</v>
      </c>
      <c r="T55">
        <v>293</v>
      </c>
      <c r="U55">
        <v>0.93100000000000005</v>
      </c>
      <c r="V55">
        <v>131</v>
      </c>
      <c r="W55">
        <v>0.94899999999999995</v>
      </c>
      <c r="X55">
        <v>57</v>
      </c>
      <c r="Y55">
        <v>1.101</v>
      </c>
      <c r="Z55">
        <v>54</v>
      </c>
      <c r="AA55">
        <v>0.98099999999999998</v>
      </c>
      <c r="AB55">
        <v>23</v>
      </c>
      <c r="AC55" s="21">
        <v>0.55800000000000005</v>
      </c>
      <c r="AD55" s="21">
        <v>0.53</v>
      </c>
      <c r="AE55">
        <v>49</v>
      </c>
      <c r="AF55">
        <v>68</v>
      </c>
      <c r="AG55" s="21">
        <v>0.48499999999999999</v>
      </c>
      <c r="AH55">
        <v>166</v>
      </c>
      <c r="AI55">
        <v>19.879000000000001</v>
      </c>
      <c r="AJ55">
        <v>202</v>
      </c>
      <c r="AK55" s="21">
        <v>0.247</v>
      </c>
      <c r="AL55">
        <v>95</v>
      </c>
      <c r="AM55" s="21">
        <v>0.34499999999999997</v>
      </c>
      <c r="AN55">
        <v>52</v>
      </c>
      <c r="AO55" s="21">
        <v>0.36599999999999999</v>
      </c>
      <c r="AP55">
        <v>129</v>
      </c>
      <c r="AQ55" s="21">
        <v>0.33100000000000002</v>
      </c>
      <c r="AR55">
        <v>270</v>
      </c>
      <c r="AS55" s="21">
        <v>0.247</v>
      </c>
      <c r="AT55">
        <v>32</v>
      </c>
      <c r="AU55" s="21">
        <v>0.76200000000000001</v>
      </c>
      <c r="AV55">
        <v>274</v>
      </c>
      <c r="AW55">
        <v>68.400000000000006</v>
      </c>
      <c r="AX55">
        <v>200</v>
      </c>
      <c r="AY55" s="21">
        <v>0.17</v>
      </c>
      <c r="AZ55">
        <v>198</v>
      </c>
      <c r="BA55" s="21">
        <v>0.16400000000000001</v>
      </c>
    </row>
    <row r="56" spans="1:53" x14ac:dyDescent="0.25">
      <c r="A56" s="1" t="s">
        <v>441</v>
      </c>
      <c r="B56">
        <v>55</v>
      </c>
      <c r="C56">
        <v>11.5</v>
      </c>
      <c r="D56">
        <v>91</v>
      </c>
      <c r="E56">
        <v>7.6</v>
      </c>
      <c r="F56">
        <v>82</v>
      </c>
      <c r="G56">
        <v>5.8</v>
      </c>
      <c r="H56">
        <v>57</v>
      </c>
      <c r="I56">
        <v>3.4</v>
      </c>
      <c r="J56">
        <v>179</v>
      </c>
      <c r="K56">
        <v>0</v>
      </c>
      <c r="L56">
        <v>250</v>
      </c>
      <c r="M56">
        <v>10.9</v>
      </c>
      <c r="N56">
        <v>100</v>
      </c>
      <c r="O56">
        <v>1.264</v>
      </c>
      <c r="P56">
        <v>107</v>
      </c>
      <c r="Q56">
        <v>1.0089999999999999</v>
      </c>
      <c r="R56">
        <v>93</v>
      </c>
      <c r="S56">
        <v>0.6</v>
      </c>
      <c r="T56">
        <v>94</v>
      </c>
      <c r="U56">
        <v>0.97199999999999998</v>
      </c>
      <c r="V56">
        <v>65</v>
      </c>
      <c r="W56">
        <v>0.93400000000000005</v>
      </c>
      <c r="X56">
        <v>55</v>
      </c>
      <c r="Y56">
        <v>1.103</v>
      </c>
      <c r="Z56">
        <v>56</v>
      </c>
      <c r="AA56">
        <v>0.98299999999999998</v>
      </c>
      <c r="AB56">
        <v>113</v>
      </c>
      <c r="AC56" s="21">
        <v>0.52100000000000002</v>
      </c>
      <c r="AD56" s="21">
        <v>0.49399999999999999</v>
      </c>
      <c r="AE56">
        <v>185</v>
      </c>
      <c r="AF56">
        <v>116</v>
      </c>
      <c r="AG56" s="21">
        <v>0.496</v>
      </c>
      <c r="AH56">
        <v>8</v>
      </c>
      <c r="AI56">
        <v>24.971</v>
      </c>
      <c r="AJ56">
        <v>134</v>
      </c>
      <c r="AK56" s="21">
        <v>0.23300000000000001</v>
      </c>
      <c r="AL56">
        <v>223</v>
      </c>
      <c r="AM56" s="21">
        <v>0.29899999999999999</v>
      </c>
      <c r="AN56">
        <v>319</v>
      </c>
      <c r="AO56" s="21">
        <v>0.31</v>
      </c>
      <c r="AP56">
        <v>209</v>
      </c>
      <c r="AQ56" s="21">
        <v>0.34200000000000003</v>
      </c>
      <c r="AR56">
        <v>81</v>
      </c>
      <c r="AS56" s="21">
        <v>0.315</v>
      </c>
      <c r="AT56">
        <v>1</v>
      </c>
      <c r="AU56" s="21">
        <v>0.79900000000000004</v>
      </c>
      <c r="AV56">
        <v>321</v>
      </c>
      <c r="AW56">
        <v>67.2</v>
      </c>
      <c r="AX56">
        <v>166</v>
      </c>
      <c r="AY56" s="21">
        <v>0.16500000000000001</v>
      </c>
      <c r="AZ56">
        <v>251</v>
      </c>
      <c r="BA56" s="21">
        <v>0.157</v>
      </c>
    </row>
    <row r="57" spans="1:53" x14ac:dyDescent="0.25">
      <c r="A57" s="1" t="s">
        <v>119</v>
      </c>
      <c r="B57">
        <v>56</v>
      </c>
      <c r="C57">
        <v>11.1</v>
      </c>
      <c r="D57">
        <v>79</v>
      </c>
      <c r="E57">
        <v>9.4</v>
      </c>
      <c r="F57">
        <v>43</v>
      </c>
      <c r="G57">
        <v>10</v>
      </c>
      <c r="H57">
        <v>112</v>
      </c>
      <c r="I57">
        <v>0.1</v>
      </c>
      <c r="J57">
        <v>23</v>
      </c>
      <c r="K57">
        <v>2.6</v>
      </c>
      <c r="L57">
        <v>128</v>
      </c>
      <c r="M57">
        <v>9.8000000000000007</v>
      </c>
      <c r="N57">
        <v>66</v>
      </c>
      <c r="O57">
        <v>1.343</v>
      </c>
      <c r="P57">
        <v>23</v>
      </c>
      <c r="Q57">
        <v>0.86399999999999999</v>
      </c>
      <c r="R57">
        <v>5</v>
      </c>
      <c r="S57">
        <v>0.875</v>
      </c>
      <c r="T57">
        <v>38</v>
      </c>
      <c r="U57">
        <v>0.99299999999999999</v>
      </c>
      <c r="V57">
        <v>29</v>
      </c>
      <c r="W57">
        <v>0.92</v>
      </c>
      <c r="X57">
        <v>53</v>
      </c>
      <c r="Y57">
        <v>1.1040000000000001</v>
      </c>
      <c r="Z57">
        <v>176</v>
      </c>
      <c r="AA57">
        <v>1.0369999999999999</v>
      </c>
      <c r="AB57">
        <v>128</v>
      </c>
      <c r="AC57" s="21">
        <v>0.51700000000000002</v>
      </c>
      <c r="AD57" s="21">
        <v>0.5</v>
      </c>
      <c r="AE57">
        <v>154</v>
      </c>
      <c r="AF57">
        <v>276</v>
      </c>
      <c r="AG57" s="21">
        <v>0.52900000000000003</v>
      </c>
      <c r="AH57">
        <v>79</v>
      </c>
      <c r="AI57">
        <v>21.79</v>
      </c>
      <c r="AJ57">
        <v>297</v>
      </c>
      <c r="AK57" s="21">
        <v>0.27100000000000002</v>
      </c>
      <c r="AL57">
        <v>207</v>
      </c>
      <c r="AM57" s="21">
        <v>0.30499999999999999</v>
      </c>
      <c r="AN57">
        <v>239</v>
      </c>
      <c r="AO57" s="21">
        <v>0.32500000000000001</v>
      </c>
      <c r="AP57">
        <v>337</v>
      </c>
      <c r="AQ57" s="21">
        <v>0.36899999999999999</v>
      </c>
      <c r="AR57">
        <v>118</v>
      </c>
      <c r="AS57" s="21">
        <v>0.29699999999999999</v>
      </c>
      <c r="AT57">
        <v>188</v>
      </c>
      <c r="AU57" s="21">
        <v>0.72299999999999998</v>
      </c>
      <c r="AV57">
        <v>77</v>
      </c>
      <c r="AW57">
        <v>72.099999999999994</v>
      </c>
      <c r="AX57">
        <v>29</v>
      </c>
      <c r="AY57" s="21">
        <v>0.14399999999999999</v>
      </c>
      <c r="AZ57">
        <v>47</v>
      </c>
      <c r="BA57" s="21">
        <v>0.19500000000000001</v>
      </c>
    </row>
    <row r="58" spans="1:53" x14ac:dyDescent="0.25">
      <c r="A58" s="1" t="s">
        <v>175</v>
      </c>
      <c r="B58">
        <v>57</v>
      </c>
      <c r="C58">
        <v>11.1</v>
      </c>
      <c r="D58">
        <v>20</v>
      </c>
      <c r="E58">
        <v>18.399999999999999</v>
      </c>
      <c r="F58">
        <v>66</v>
      </c>
      <c r="G58">
        <v>7</v>
      </c>
      <c r="H58">
        <v>18</v>
      </c>
      <c r="I58">
        <v>8.5</v>
      </c>
      <c r="J58">
        <v>76</v>
      </c>
      <c r="K58">
        <v>1.5</v>
      </c>
      <c r="L58">
        <v>273</v>
      </c>
      <c r="M58">
        <v>11.1</v>
      </c>
      <c r="N58">
        <v>173</v>
      </c>
      <c r="O58">
        <v>1.1419999999999999</v>
      </c>
      <c r="P58">
        <v>11</v>
      </c>
      <c r="Q58">
        <v>0.8</v>
      </c>
      <c r="R58">
        <v>18</v>
      </c>
      <c r="S58">
        <v>0.77800000000000002</v>
      </c>
      <c r="T58">
        <v>174</v>
      </c>
      <c r="U58">
        <v>0.95699999999999996</v>
      </c>
      <c r="V58">
        <v>105</v>
      </c>
      <c r="W58">
        <v>0.94399999999999995</v>
      </c>
      <c r="X58">
        <v>218</v>
      </c>
      <c r="Y58">
        <v>1.02</v>
      </c>
      <c r="Z58">
        <v>13</v>
      </c>
      <c r="AA58">
        <v>0.93600000000000005</v>
      </c>
      <c r="AB58">
        <v>185</v>
      </c>
      <c r="AC58" s="21">
        <v>0.50600000000000001</v>
      </c>
      <c r="AD58" s="21">
        <v>0.49399999999999999</v>
      </c>
      <c r="AE58">
        <v>185</v>
      </c>
      <c r="AF58">
        <v>6</v>
      </c>
      <c r="AG58" s="21">
        <v>0.45300000000000001</v>
      </c>
      <c r="AH58">
        <v>276</v>
      </c>
      <c r="AI58">
        <v>17.765999999999998</v>
      </c>
      <c r="AJ58">
        <v>268</v>
      </c>
      <c r="AK58" s="21">
        <v>0.26300000000000001</v>
      </c>
      <c r="AL58">
        <v>180</v>
      </c>
      <c r="AM58" s="21">
        <v>0.315</v>
      </c>
      <c r="AN58">
        <v>228</v>
      </c>
      <c r="AO58" s="21">
        <v>0.32800000000000001</v>
      </c>
      <c r="AP58">
        <v>19</v>
      </c>
      <c r="AQ58" s="21">
        <v>0.30399999999999999</v>
      </c>
      <c r="AR58">
        <v>204</v>
      </c>
      <c r="AS58" s="21">
        <v>0.27200000000000002</v>
      </c>
      <c r="AT58">
        <v>226</v>
      </c>
      <c r="AU58" s="21">
        <v>0.71599999999999997</v>
      </c>
      <c r="AV58">
        <v>263</v>
      </c>
      <c r="AW58">
        <v>68.5</v>
      </c>
      <c r="AX58">
        <v>155</v>
      </c>
      <c r="AY58" s="21">
        <v>0.16400000000000001</v>
      </c>
      <c r="AZ58">
        <v>57</v>
      </c>
      <c r="BA58" s="21">
        <v>0.191</v>
      </c>
    </row>
    <row r="59" spans="1:53" x14ac:dyDescent="0.25">
      <c r="A59" s="1" t="s">
        <v>115</v>
      </c>
      <c r="B59">
        <v>58</v>
      </c>
      <c r="C59">
        <v>10.9</v>
      </c>
      <c r="D59">
        <v>27</v>
      </c>
      <c r="E59">
        <v>16.3</v>
      </c>
      <c r="F59">
        <v>45</v>
      </c>
      <c r="G59">
        <v>9.8000000000000007</v>
      </c>
      <c r="H59">
        <v>72</v>
      </c>
      <c r="I59">
        <v>2.2000000000000002</v>
      </c>
      <c r="J59">
        <v>171</v>
      </c>
      <c r="K59">
        <v>0.2</v>
      </c>
      <c r="L59">
        <v>331</v>
      </c>
      <c r="M59">
        <v>12</v>
      </c>
      <c r="N59">
        <v>135</v>
      </c>
      <c r="O59">
        <v>1.2130000000000001</v>
      </c>
      <c r="P59">
        <v>175</v>
      </c>
      <c r="Q59">
        <v>1.123</v>
      </c>
      <c r="R59">
        <v>335</v>
      </c>
      <c r="S59">
        <v>0.222</v>
      </c>
      <c r="T59">
        <v>212</v>
      </c>
      <c r="U59">
        <v>0.94899999999999995</v>
      </c>
      <c r="V59">
        <v>157</v>
      </c>
      <c r="W59">
        <v>0.95399999999999996</v>
      </c>
      <c r="X59">
        <v>136</v>
      </c>
      <c r="Y59">
        <v>1.0549999999999999</v>
      </c>
      <c r="Z59">
        <v>137</v>
      </c>
      <c r="AA59">
        <v>1.02</v>
      </c>
      <c r="AB59">
        <v>134</v>
      </c>
      <c r="AC59" s="21">
        <v>0.51600000000000001</v>
      </c>
      <c r="AD59" s="21">
        <v>0.52800000000000002</v>
      </c>
      <c r="AE59">
        <v>52</v>
      </c>
      <c r="AF59">
        <v>178</v>
      </c>
      <c r="AG59" s="21">
        <v>0.50900000000000001</v>
      </c>
      <c r="AH59">
        <v>75</v>
      </c>
      <c r="AI59">
        <v>21.844999999999999</v>
      </c>
      <c r="AJ59">
        <v>35</v>
      </c>
      <c r="AK59" s="21">
        <v>0.20200000000000001</v>
      </c>
      <c r="AL59">
        <v>250</v>
      </c>
      <c r="AM59" s="21">
        <v>0.28899999999999998</v>
      </c>
      <c r="AN59">
        <v>241</v>
      </c>
      <c r="AO59" s="21">
        <v>0.32500000000000001</v>
      </c>
      <c r="AP59">
        <v>199</v>
      </c>
      <c r="AQ59" s="21">
        <v>0.34100000000000003</v>
      </c>
      <c r="AR59">
        <v>273</v>
      </c>
      <c r="AS59" s="21">
        <v>0.246</v>
      </c>
      <c r="AT59">
        <v>126</v>
      </c>
      <c r="AU59" s="21">
        <v>0.73299999999999998</v>
      </c>
      <c r="AV59">
        <v>114</v>
      </c>
      <c r="AW59">
        <v>71.5</v>
      </c>
      <c r="AX59">
        <v>120</v>
      </c>
      <c r="AY59" s="21">
        <v>0.159</v>
      </c>
      <c r="AZ59">
        <v>137</v>
      </c>
      <c r="BA59" s="21">
        <v>0.17299999999999999</v>
      </c>
    </row>
    <row r="60" spans="1:53" x14ac:dyDescent="0.25">
      <c r="A60" s="1" t="s">
        <v>27</v>
      </c>
      <c r="B60">
        <v>59</v>
      </c>
      <c r="C60">
        <v>10.8</v>
      </c>
      <c r="D60">
        <v>51</v>
      </c>
      <c r="E60">
        <v>12.3</v>
      </c>
      <c r="F60">
        <v>44</v>
      </c>
      <c r="G60">
        <v>9.9</v>
      </c>
      <c r="H60">
        <v>82</v>
      </c>
      <c r="I60">
        <v>1.6</v>
      </c>
      <c r="J60">
        <v>214</v>
      </c>
      <c r="K60">
        <v>-0.5</v>
      </c>
      <c r="L60">
        <v>166</v>
      </c>
      <c r="M60">
        <v>10.199999999999999</v>
      </c>
      <c r="N60">
        <v>2</v>
      </c>
      <c r="O60">
        <v>1.8640000000000001</v>
      </c>
      <c r="P60">
        <v>261</v>
      </c>
      <c r="Q60">
        <v>1.246</v>
      </c>
      <c r="R60">
        <v>251</v>
      </c>
      <c r="S60">
        <v>0.4</v>
      </c>
      <c r="T60">
        <v>107</v>
      </c>
      <c r="U60">
        <v>0.96899999999999997</v>
      </c>
      <c r="V60">
        <v>187</v>
      </c>
      <c r="W60">
        <v>0.95799999999999996</v>
      </c>
      <c r="X60">
        <v>19</v>
      </c>
      <c r="Y60">
        <v>1.1319999999999999</v>
      </c>
      <c r="Z60">
        <v>314</v>
      </c>
      <c r="AA60">
        <v>1.0940000000000001</v>
      </c>
      <c r="AB60">
        <v>9</v>
      </c>
      <c r="AC60" s="21">
        <v>0.56699999999999995</v>
      </c>
      <c r="AD60" s="21">
        <v>0.53300000000000003</v>
      </c>
      <c r="AE60">
        <v>42</v>
      </c>
      <c r="AF60">
        <v>330</v>
      </c>
      <c r="AG60" s="21">
        <v>0.54400000000000004</v>
      </c>
      <c r="AH60">
        <v>337</v>
      </c>
      <c r="AI60">
        <v>15.727</v>
      </c>
      <c r="AJ60">
        <v>59</v>
      </c>
      <c r="AK60" s="21">
        <v>0.21199999999999999</v>
      </c>
      <c r="AL60">
        <v>77</v>
      </c>
      <c r="AM60" s="21">
        <v>0.35299999999999998</v>
      </c>
      <c r="AN60">
        <v>18</v>
      </c>
      <c r="AO60" s="21">
        <v>0.38</v>
      </c>
      <c r="AP60">
        <v>221</v>
      </c>
      <c r="AQ60" s="21">
        <v>0.34399999999999997</v>
      </c>
      <c r="AR60">
        <v>304</v>
      </c>
      <c r="AS60" s="21">
        <v>0.23400000000000001</v>
      </c>
      <c r="AT60">
        <v>302</v>
      </c>
      <c r="AU60" s="21">
        <v>0.69499999999999995</v>
      </c>
      <c r="AV60">
        <v>48</v>
      </c>
      <c r="AW60">
        <v>72.8</v>
      </c>
      <c r="AX60">
        <v>11</v>
      </c>
      <c r="AY60" s="21">
        <v>0.13400000000000001</v>
      </c>
      <c r="AZ60">
        <v>118</v>
      </c>
      <c r="BA60" s="21">
        <v>0.17599999999999999</v>
      </c>
    </row>
    <row r="61" spans="1:53" x14ac:dyDescent="0.25">
      <c r="A61" s="1" t="s">
        <v>92</v>
      </c>
      <c r="B61">
        <v>60</v>
      </c>
      <c r="C61">
        <v>10.199999999999999</v>
      </c>
      <c r="D61">
        <v>112</v>
      </c>
      <c r="E61">
        <v>4.8</v>
      </c>
      <c r="F61">
        <v>52</v>
      </c>
      <c r="G61">
        <v>9.4</v>
      </c>
      <c r="H61">
        <v>91</v>
      </c>
      <c r="I61">
        <v>1</v>
      </c>
      <c r="J61">
        <v>284</v>
      </c>
      <c r="K61">
        <v>-1.5</v>
      </c>
      <c r="L61">
        <v>350</v>
      </c>
      <c r="M61">
        <v>12.6</v>
      </c>
      <c r="N61">
        <v>107</v>
      </c>
      <c r="O61">
        <v>1.25</v>
      </c>
      <c r="P61">
        <v>267</v>
      </c>
      <c r="Q61">
        <v>1.252</v>
      </c>
      <c r="R61">
        <v>309</v>
      </c>
      <c r="S61">
        <v>0.28599999999999998</v>
      </c>
      <c r="T61">
        <v>278</v>
      </c>
      <c r="U61">
        <v>0.93400000000000005</v>
      </c>
      <c r="V61">
        <v>114</v>
      </c>
      <c r="W61">
        <v>0.94599999999999995</v>
      </c>
      <c r="X61">
        <v>77</v>
      </c>
      <c r="Y61">
        <v>1.0840000000000001</v>
      </c>
      <c r="Z61">
        <v>254</v>
      </c>
      <c r="AA61">
        <v>1.0649999999999999</v>
      </c>
      <c r="AB61">
        <v>49</v>
      </c>
      <c r="AC61" s="21">
        <v>0.54600000000000004</v>
      </c>
      <c r="AD61" s="21">
        <v>0.50900000000000001</v>
      </c>
      <c r="AE61">
        <v>103</v>
      </c>
      <c r="AF61">
        <v>257</v>
      </c>
      <c r="AG61" s="21">
        <v>0.52400000000000002</v>
      </c>
      <c r="AH61">
        <v>86</v>
      </c>
      <c r="AI61">
        <v>21.623999999999999</v>
      </c>
      <c r="AJ61">
        <v>221</v>
      </c>
      <c r="AK61" s="21">
        <v>0.253</v>
      </c>
      <c r="AL61">
        <v>278</v>
      </c>
      <c r="AM61" s="21">
        <v>0.28000000000000003</v>
      </c>
      <c r="AN61">
        <v>43</v>
      </c>
      <c r="AO61" s="21">
        <v>0.36699999999999999</v>
      </c>
      <c r="AP61">
        <v>120</v>
      </c>
      <c r="AQ61" s="21">
        <v>0.32900000000000001</v>
      </c>
      <c r="AR61">
        <v>202</v>
      </c>
      <c r="AS61" s="21">
        <v>0.27200000000000002</v>
      </c>
      <c r="AT61">
        <v>235</v>
      </c>
      <c r="AU61" s="21">
        <v>0.71299999999999997</v>
      </c>
      <c r="AV61">
        <v>141</v>
      </c>
      <c r="AW61">
        <v>70.900000000000006</v>
      </c>
      <c r="AX61">
        <v>225</v>
      </c>
      <c r="AY61" s="21">
        <v>0.17399999999999999</v>
      </c>
      <c r="AZ61">
        <v>128</v>
      </c>
      <c r="BA61" s="21">
        <v>0.17399999999999999</v>
      </c>
    </row>
    <row r="62" spans="1:53" x14ac:dyDescent="0.25">
      <c r="A62" s="1" t="s">
        <v>16</v>
      </c>
      <c r="B62">
        <v>61</v>
      </c>
      <c r="C62">
        <v>10</v>
      </c>
      <c r="D62">
        <v>88</v>
      </c>
      <c r="E62">
        <v>7.7</v>
      </c>
      <c r="F62">
        <v>89</v>
      </c>
      <c r="G62">
        <v>4.5</v>
      </c>
      <c r="H62">
        <v>51</v>
      </c>
      <c r="I62">
        <v>3.9</v>
      </c>
      <c r="J62">
        <v>325</v>
      </c>
      <c r="K62">
        <v>-2.4</v>
      </c>
      <c r="L62">
        <v>362</v>
      </c>
      <c r="M62">
        <v>13.8</v>
      </c>
      <c r="N62">
        <v>49</v>
      </c>
      <c r="O62">
        <v>1.397</v>
      </c>
      <c r="P62">
        <v>253</v>
      </c>
      <c r="Q62">
        <v>1.2350000000000001</v>
      </c>
      <c r="R62">
        <v>239</v>
      </c>
      <c r="S62">
        <v>0.42899999999999999</v>
      </c>
      <c r="T62">
        <v>104</v>
      </c>
      <c r="U62">
        <v>0.97</v>
      </c>
      <c r="V62">
        <v>145</v>
      </c>
      <c r="W62">
        <v>0.95099999999999996</v>
      </c>
      <c r="X62">
        <v>32</v>
      </c>
      <c r="Y62">
        <v>1.125</v>
      </c>
      <c r="Z62">
        <v>102</v>
      </c>
      <c r="AA62">
        <v>1.008</v>
      </c>
      <c r="AB62">
        <v>28</v>
      </c>
      <c r="AC62" s="21">
        <v>0.55500000000000005</v>
      </c>
      <c r="AD62" s="21">
        <v>0.54800000000000004</v>
      </c>
      <c r="AE62">
        <v>22</v>
      </c>
      <c r="AF62">
        <v>112</v>
      </c>
      <c r="AG62" s="21">
        <v>0.495</v>
      </c>
      <c r="AH62">
        <v>270</v>
      </c>
      <c r="AI62">
        <v>17.91</v>
      </c>
      <c r="AJ62">
        <v>152</v>
      </c>
      <c r="AK62" s="21">
        <v>0.23599999999999999</v>
      </c>
      <c r="AL62">
        <v>12</v>
      </c>
      <c r="AM62" s="21">
        <v>0.4</v>
      </c>
      <c r="AN62">
        <v>22</v>
      </c>
      <c r="AO62" s="21">
        <v>0.377</v>
      </c>
      <c r="AP62">
        <v>28</v>
      </c>
      <c r="AQ62" s="21">
        <v>0.307</v>
      </c>
      <c r="AR62">
        <v>84</v>
      </c>
      <c r="AS62" s="21">
        <v>0.312</v>
      </c>
      <c r="AT62">
        <v>77</v>
      </c>
      <c r="AU62" s="21">
        <v>0.745</v>
      </c>
      <c r="AV62">
        <v>75</v>
      </c>
      <c r="AW62">
        <v>72.2</v>
      </c>
      <c r="AX62">
        <v>174</v>
      </c>
      <c r="AY62" s="21">
        <v>0.16700000000000001</v>
      </c>
      <c r="AZ62">
        <v>188</v>
      </c>
      <c r="BA62" s="21">
        <v>0.16600000000000001</v>
      </c>
    </row>
    <row r="63" spans="1:53" x14ac:dyDescent="0.25">
      <c r="A63" s="1" t="s">
        <v>157</v>
      </c>
      <c r="B63">
        <v>62</v>
      </c>
      <c r="C63">
        <v>9.6999999999999993</v>
      </c>
      <c r="D63">
        <v>80</v>
      </c>
      <c r="E63">
        <v>9.4</v>
      </c>
      <c r="F63">
        <v>42</v>
      </c>
      <c r="G63">
        <v>10</v>
      </c>
      <c r="H63">
        <v>60</v>
      </c>
      <c r="I63">
        <v>3.2</v>
      </c>
      <c r="J63">
        <v>193</v>
      </c>
      <c r="K63">
        <v>-0.1</v>
      </c>
      <c r="L63">
        <v>296</v>
      </c>
      <c r="M63">
        <v>11.4</v>
      </c>
      <c r="N63">
        <v>99</v>
      </c>
      <c r="O63">
        <v>1.266</v>
      </c>
      <c r="P63">
        <v>182</v>
      </c>
      <c r="Q63">
        <v>1.1379999999999999</v>
      </c>
      <c r="R63">
        <v>213</v>
      </c>
      <c r="S63">
        <v>0.45500000000000002</v>
      </c>
      <c r="T63">
        <v>195</v>
      </c>
      <c r="U63">
        <v>0.95199999999999996</v>
      </c>
      <c r="V63">
        <v>207</v>
      </c>
      <c r="W63">
        <v>0.96199999999999997</v>
      </c>
      <c r="X63">
        <v>219</v>
      </c>
      <c r="Y63">
        <v>1.0189999999999999</v>
      </c>
      <c r="Z63">
        <v>89</v>
      </c>
      <c r="AA63">
        <v>1.0009999999999999</v>
      </c>
      <c r="AB63">
        <v>189</v>
      </c>
      <c r="AC63" s="21">
        <v>0.50600000000000001</v>
      </c>
      <c r="AD63" s="21">
        <v>0.504</v>
      </c>
      <c r="AE63">
        <v>128</v>
      </c>
      <c r="AF63">
        <v>92</v>
      </c>
      <c r="AG63" s="21">
        <v>0.49</v>
      </c>
      <c r="AH63">
        <v>329</v>
      </c>
      <c r="AI63">
        <v>16.170000000000002</v>
      </c>
      <c r="AJ63">
        <v>57</v>
      </c>
      <c r="AK63" s="21">
        <v>0.21199999999999999</v>
      </c>
      <c r="AL63">
        <v>145</v>
      </c>
      <c r="AM63" s="21">
        <v>0.32600000000000001</v>
      </c>
      <c r="AN63">
        <v>240</v>
      </c>
      <c r="AO63" s="21">
        <v>0.32500000000000001</v>
      </c>
      <c r="AP63">
        <v>54</v>
      </c>
      <c r="AQ63" s="21">
        <v>0.315</v>
      </c>
      <c r="AR63">
        <v>190</v>
      </c>
      <c r="AS63" s="21">
        <v>0.27600000000000002</v>
      </c>
      <c r="AT63">
        <v>314</v>
      </c>
      <c r="AU63" s="21">
        <v>0.69</v>
      </c>
      <c r="AV63">
        <v>216</v>
      </c>
      <c r="AW63">
        <v>69.5</v>
      </c>
      <c r="AX63">
        <v>222</v>
      </c>
      <c r="AY63" s="21">
        <v>0.17399999999999999</v>
      </c>
      <c r="AZ63">
        <v>109</v>
      </c>
      <c r="BA63" s="21">
        <v>0.17699999999999999</v>
      </c>
    </row>
    <row r="64" spans="1:53" x14ac:dyDescent="0.25">
      <c r="A64" s="1" t="s">
        <v>184</v>
      </c>
      <c r="B64">
        <v>63</v>
      </c>
      <c r="C64">
        <v>9.6</v>
      </c>
      <c r="D64">
        <v>140</v>
      </c>
      <c r="E64">
        <v>2.7</v>
      </c>
      <c r="F64">
        <v>56</v>
      </c>
      <c r="G64">
        <v>8.9</v>
      </c>
      <c r="H64">
        <v>107</v>
      </c>
      <c r="I64">
        <v>0.3</v>
      </c>
      <c r="J64">
        <v>249</v>
      </c>
      <c r="K64">
        <v>-0.9</v>
      </c>
      <c r="L64">
        <v>214</v>
      </c>
      <c r="M64">
        <v>10.5</v>
      </c>
      <c r="N64">
        <v>48</v>
      </c>
      <c r="O64">
        <v>1.399</v>
      </c>
      <c r="P64">
        <v>224</v>
      </c>
      <c r="Q64">
        <v>1.1950000000000001</v>
      </c>
      <c r="R64">
        <v>158</v>
      </c>
      <c r="S64">
        <v>0.5</v>
      </c>
      <c r="T64">
        <v>86</v>
      </c>
      <c r="U64">
        <v>0.97499999999999998</v>
      </c>
      <c r="V64">
        <v>291</v>
      </c>
      <c r="W64">
        <v>0.97499999999999998</v>
      </c>
      <c r="X64">
        <v>129</v>
      </c>
      <c r="Y64">
        <v>1.0569999999999999</v>
      </c>
      <c r="Z64">
        <v>116</v>
      </c>
      <c r="AA64">
        <v>1.014</v>
      </c>
      <c r="AB64">
        <v>124</v>
      </c>
      <c r="AC64" s="21">
        <v>0.51700000000000002</v>
      </c>
      <c r="AD64" s="21">
        <v>0.47199999999999998</v>
      </c>
      <c r="AE64">
        <v>283</v>
      </c>
      <c r="AF64">
        <v>80</v>
      </c>
      <c r="AG64" s="21">
        <v>0.48699999999999999</v>
      </c>
      <c r="AH64">
        <v>180</v>
      </c>
      <c r="AI64">
        <v>19.658000000000001</v>
      </c>
      <c r="AJ64">
        <v>206</v>
      </c>
      <c r="AK64" s="21">
        <v>0.248</v>
      </c>
      <c r="AL64">
        <v>112</v>
      </c>
      <c r="AM64" s="21">
        <v>0.33700000000000002</v>
      </c>
      <c r="AN64">
        <v>235</v>
      </c>
      <c r="AO64" s="21">
        <v>0.32600000000000001</v>
      </c>
      <c r="AP64">
        <v>179</v>
      </c>
      <c r="AQ64" s="21">
        <v>0.33800000000000002</v>
      </c>
      <c r="AR64">
        <v>38</v>
      </c>
      <c r="AS64" s="21">
        <v>0.33100000000000002</v>
      </c>
      <c r="AT64">
        <v>127</v>
      </c>
      <c r="AU64" s="21">
        <v>0.73299999999999998</v>
      </c>
      <c r="AV64">
        <v>124</v>
      </c>
      <c r="AW64">
        <v>71.2</v>
      </c>
      <c r="AX64">
        <v>238</v>
      </c>
      <c r="AY64" s="21">
        <v>0.17599999999999999</v>
      </c>
      <c r="AZ64">
        <v>280</v>
      </c>
      <c r="BA64" s="21">
        <v>0.153</v>
      </c>
    </row>
    <row r="65" spans="1:53" x14ac:dyDescent="0.25">
      <c r="A65" s="1" t="s">
        <v>7</v>
      </c>
      <c r="B65">
        <v>64</v>
      </c>
      <c r="C65">
        <v>9.6</v>
      </c>
      <c r="D65">
        <v>61</v>
      </c>
      <c r="E65">
        <v>11.3</v>
      </c>
      <c r="F65">
        <v>63</v>
      </c>
      <c r="G65">
        <v>8.1</v>
      </c>
      <c r="H65">
        <v>37</v>
      </c>
      <c r="I65">
        <v>5.4</v>
      </c>
      <c r="J65">
        <v>14</v>
      </c>
      <c r="K65">
        <v>3.2</v>
      </c>
      <c r="L65">
        <v>142</v>
      </c>
      <c r="M65">
        <v>9.9</v>
      </c>
      <c r="N65">
        <v>263</v>
      </c>
      <c r="O65">
        <v>1</v>
      </c>
      <c r="P65">
        <v>86</v>
      </c>
      <c r="Q65">
        <v>0.99099999999999999</v>
      </c>
      <c r="R65">
        <v>10</v>
      </c>
      <c r="S65">
        <v>0.83299999999999996</v>
      </c>
      <c r="T65">
        <v>233</v>
      </c>
      <c r="U65">
        <v>0.94599999999999995</v>
      </c>
      <c r="V65">
        <v>82</v>
      </c>
      <c r="W65">
        <v>0.93799999999999994</v>
      </c>
      <c r="X65">
        <v>250</v>
      </c>
      <c r="Y65">
        <v>1.008</v>
      </c>
      <c r="Z65">
        <v>43</v>
      </c>
      <c r="AA65">
        <v>0.97699999999999998</v>
      </c>
      <c r="AB65">
        <v>256</v>
      </c>
      <c r="AC65" s="21">
        <v>0.49399999999999999</v>
      </c>
      <c r="AD65" s="21">
        <v>0.47699999999999998</v>
      </c>
      <c r="AE65">
        <v>266</v>
      </c>
      <c r="AF65">
        <v>30</v>
      </c>
      <c r="AG65" s="21">
        <v>0.47199999999999998</v>
      </c>
      <c r="AH65">
        <v>74</v>
      </c>
      <c r="AI65">
        <v>21.850999999999999</v>
      </c>
      <c r="AJ65">
        <v>129</v>
      </c>
      <c r="AK65" s="21">
        <v>0.23</v>
      </c>
      <c r="AL65">
        <v>346</v>
      </c>
      <c r="AM65" s="21">
        <v>0.23899999999999999</v>
      </c>
      <c r="AN65">
        <v>359</v>
      </c>
      <c r="AO65" s="21">
        <v>0.28499999999999998</v>
      </c>
      <c r="AP65">
        <v>25</v>
      </c>
      <c r="AQ65" s="21">
        <v>0.307</v>
      </c>
      <c r="AR65">
        <v>264</v>
      </c>
      <c r="AS65" s="21">
        <v>0.248</v>
      </c>
      <c r="AT65">
        <v>216</v>
      </c>
      <c r="AU65" s="21">
        <v>0.71699999999999997</v>
      </c>
      <c r="AV65">
        <v>210</v>
      </c>
      <c r="AW65">
        <v>69.599999999999994</v>
      </c>
      <c r="AX65">
        <v>144</v>
      </c>
      <c r="AY65" s="21">
        <v>0.16200000000000001</v>
      </c>
      <c r="AZ65">
        <v>56</v>
      </c>
      <c r="BA65" s="21">
        <v>0.192</v>
      </c>
    </row>
    <row r="66" spans="1:53" x14ac:dyDescent="0.25">
      <c r="A66" s="1" t="s">
        <v>442</v>
      </c>
      <c r="B66">
        <v>65</v>
      </c>
      <c r="C66">
        <v>9.3000000000000007</v>
      </c>
      <c r="D66">
        <v>75</v>
      </c>
      <c r="E66">
        <v>10.1</v>
      </c>
      <c r="F66">
        <v>51</v>
      </c>
      <c r="G66">
        <v>9.5</v>
      </c>
      <c r="H66">
        <v>75</v>
      </c>
      <c r="I66">
        <v>2.2000000000000002</v>
      </c>
      <c r="J66">
        <v>139</v>
      </c>
      <c r="K66">
        <v>0.7</v>
      </c>
      <c r="L66">
        <v>100</v>
      </c>
      <c r="M66">
        <v>9.6</v>
      </c>
      <c r="N66">
        <v>193</v>
      </c>
      <c r="O66">
        <v>1.1100000000000001</v>
      </c>
      <c r="P66">
        <v>196</v>
      </c>
      <c r="Q66">
        <v>1.1539999999999999</v>
      </c>
      <c r="R66">
        <v>77</v>
      </c>
      <c r="S66">
        <v>0.625</v>
      </c>
      <c r="T66">
        <v>119</v>
      </c>
      <c r="U66">
        <v>0.96699999999999997</v>
      </c>
      <c r="V66">
        <v>247</v>
      </c>
      <c r="W66">
        <v>0.96699999999999997</v>
      </c>
      <c r="X66">
        <v>155</v>
      </c>
      <c r="Y66">
        <v>1.0449999999999999</v>
      </c>
      <c r="Z66">
        <v>231</v>
      </c>
      <c r="AA66">
        <v>1.056</v>
      </c>
      <c r="AB66">
        <v>254</v>
      </c>
      <c r="AC66" s="21">
        <v>0.49399999999999999</v>
      </c>
      <c r="AD66" s="21">
        <v>0.497</v>
      </c>
      <c r="AE66">
        <v>168</v>
      </c>
      <c r="AF66">
        <v>195</v>
      </c>
      <c r="AG66" s="21">
        <v>0.51100000000000001</v>
      </c>
      <c r="AH66">
        <v>35</v>
      </c>
      <c r="AI66">
        <v>23.196000000000002</v>
      </c>
      <c r="AJ66">
        <v>121</v>
      </c>
      <c r="AK66" s="21">
        <v>0.22800000000000001</v>
      </c>
      <c r="AL66">
        <v>141</v>
      </c>
      <c r="AM66" s="21">
        <v>0.32800000000000001</v>
      </c>
      <c r="AN66">
        <v>186</v>
      </c>
      <c r="AO66" s="21">
        <v>0.33600000000000002</v>
      </c>
      <c r="AP66">
        <v>126</v>
      </c>
      <c r="AQ66" s="21">
        <v>0.33</v>
      </c>
      <c r="AR66">
        <v>113</v>
      </c>
      <c r="AS66" s="21">
        <v>0.29899999999999999</v>
      </c>
      <c r="AT66">
        <v>339</v>
      </c>
      <c r="AU66" s="21">
        <v>0.67600000000000005</v>
      </c>
      <c r="AV66">
        <v>5</v>
      </c>
      <c r="AW66">
        <v>75.900000000000006</v>
      </c>
      <c r="AX66">
        <v>177</v>
      </c>
      <c r="AY66" s="21">
        <v>0.16700000000000001</v>
      </c>
      <c r="AZ66">
        <v>115</v>
      </c>
      <c r="BA66" s="21">
        <v>0.17599999999999999</v>
      </c>
    </row>
    <row r="67" spans="1:53" x14ac:dyDescent="0.25">
      <c r="A67" s="1" t="s">
        <v>148</v>
      </c>
      <c r="B67">
        <v>66</v>
      </c>
      <c r="C67">
        <v>9</v>
      </c>
      <c r="D67">
        <v>87</v>
      </c>
      <c r="E67">
        <v>7.9</v>
      </c>
      <c r="F67">
        <v>48</v>
      </c>
      <c r="G67">
        <v>9.6999999999999993</v>
      </c>
      <c r="H67">
        <v>68</v>
      </c>
      <c r="I67">
        <v>2.5</v>
      </c>
      <c r="J67">
        <v>198</v>
      </c>
      <c r="K67">
        <v>-0.1</v>
      </c>
      <c r="L67">
        <v>15</v>
      </c>
      <c r="M67">
        <v>8.1</v>
      </c>
      <c r="N67">
        <v>148</v>
      </c>
      <c r="O67">
        <v>1.1830000000000001</v>
      </c>
      <c r="P67">
        <v>216</v>
      </c>
      <c r="Q67">
        <v>1.1830000000000001</v>
      </c>
      <c r="R67">
        <v>213</v>
      </c>
      <c r="S67">
        <v>0.45500000000000002</v>
      </c>
      <c r="T67">
        <v>67</v>
      </c>
      <c r="U67">
        <v>0.98099999999999998</v>
      </c>
      <c r="V67">
        <v>199</v>
      </c>
      <c r="W67">
        <v>0.95899999999999996</v>
      </c>
      <c r="X67">
        <v>124</v>
      </c>
      <c r="Y67">
        <v>1.06</v>
      </c>
      <c r="Z67">
        <v>259</v>
      </c>
      <c r="AA67">
        <v>1.0669999999999999</v>
      </c>
      <c r="AB67">
        <v>193</v>
      </c>
      <c r="AC67" s="21">
        <v>0.50600000000000001</v>
      </c>
      <c r="AD67" s="21">
        <v>0.50600000000000001</v>
      </c>
      <c r="AE67">
        <v>118</v>
      </c>
      <c r="AF67">
        <v>273</v>
      </c>
      <c r="AG67" s="21">
        <v>0.52800000000000002</v>
      </c>
      <c r="AH67">
        <v>84</v>
      </c>
      <c r="AI67">
        <v>21.666</v>
      </c>
      <c r="AJ67">
        <v>115</v>
      </c>
      <c r="AK67" s="21">
        <v>0.22700000000000001</v>
      </c>
      <c r="AL67">
        <v>274</v>
      </c>
      <c r="AM67" s="21">
        <v>0.28100000000000003</v>
      </c>
      <c r="AN67">
        <v>223</v>
      </c>
      <c r="AO67" s="21">
        <v>0.32900000000000001</v>
      </c>
      <c r="AP67">
        <v>264</v>
      </c>
      <c r="AQ67" s="21">
        <v>0.35099999999999998</v>
      </c>
      <c r="AR67">
        <v>146</v>
      </c>
      <c r="AS67" s="21">
        <v>0.28799999999999998</v>
      </c>
      <c r="AT67">
        <v>265</v>
      </c>
      <c r="AU67" s="21">
        <v>0.70699999999999996</v>
      </c>
      <c r="AV67">
        <v>55</v>
      </c>
      <c r="AW67">
        <v>72.7</v>
      </c>
      <c r="AX67">
        <v>52</v>
      </c>
      <c r="AY67" s="21">
        <v>0.15</v>
      </c>
      <c r="AZ67">
        <v>165</v>
      </c>
      <c r="BA67" s="21">
        <v>0.16900000000000001</v>
      </c>
    </row>
    <row r="68" spans="1:53" x14ac:dyDescent="0.25">
      <c r="A68" s="1" t="s">
        <v>38</v>
      </c>
      <c r="B68">
        <v>67</v>
      </c>
      <c r="C68">
        <v>8.6</v>
      </c>
      <c r="D68">
        <v>78</v>
      </c>
      <c r="E68">
        <v>9.8000000000000007</v>
      </c>
      <c r="F68">
        <v>90</v>
      </c>
      <c r="G68">
        <v>4.3</v>
      </c>
      <c r="H68">
        <v>79</v>
      </c>
      <c r="I68">
        <v>1.8</v>
      </c>
      <c r="J68">
        <v>41</v>
      </c>
      <c r="K68">
        <v>2.2999999999999998</v>
      </c>
      <c r="L68">
        <v>90</v>
      </c>
      <c r="M68">
        <v>9.4</v>
      </c>
      <c r="N68">
        <v>159</v>
      </c>
      <c r="O68">
        <v>1.1679999999999999</v>
      </c>
      <c r="P68">
        <v>49</v>
      </c>
      <c r="Q68">
        <v>0.93500000000000005</v>
      </c>
      <c r="R68">
        <v>50</v>
      </c>
      <c r="S68">
        <v>0.66700000000000004</v>
      </c>
      <c r="T68">
        <v>163</v>
      </c>
      <c r="U68">
        <v>0.95899999999999996</v>
      </c>
      <c r="V68">
        <v>54</v>
      </c>
      <c r="W68">
        <v>0.92900000000000005</v>
      </c>
      <c r="X68">
        <v>94</v>
      </c>
      <c r="Y68">
        <v>1.073</v>
      </c>
      <c r="Z68">
        <v>46</v>
      </c>
      <c r="AA68">
        <v>0.97799999999999998</v>
      </c>
      <c r="AB68">
        <v>81</v>
      </c>
      <c r="AC68" s="21">
        <v>0.53</v>
      </c>
      <c r="AD68" s="21">
        <v>0.503</v>
      </c>
      <c r="AE68">
        <v>134</v>
      </c>
      <c r="AF68">
        <v>81</v>
      </c>
      <c r="AG68" s="21">
        <v>0.48699999999999999</v>
      </c>
      <c r="AH68">
        <v>134</v>
      </c>
      <c r="AI68">
        <v>20.526</v>
      </c>
      <c r="AJ68">
        <v>254</v>
      </c>
      <c r="AK68" s="21">
        <v>0.25900000000000001</v>
      </c>
      <c r="AL68">
        <v>109</v>
      </c>
      <c r="AM68" s="21">
        <v>0.33900000000000002</v>
      </c>
      <c r="AN68">
        <v>174</v>
      </c>
      <c r="AO68" s="21">
        <v>0.34</v>
      </c>
      <c r="AP68">
        <v>4</v>
      </c>
      <c r="AQ68" s="21">
        <v>0.28299999999999997</v>
      </c>
      <c r="AR68">
        <v>184</v>
      </c>
      <c r="AS68" s="21">
        <v>0.27800000000000002</v>
      </c>
      <c r="AT68">
        <v>41</v>
      </c>
      <c r="AU68" s="21">
        <v>0.755</v>
      </c>
      <c r="AV68">
        <v>137</v>
      </c>
      <c r="AW68">
        <v>70.900000000000006</v>
      </c>
      <c r="AX68">
        <v>167</v>
      </c>
      <c r="AY68" s="21">
        <v>0.16600000000000001</v>
      </c>
      <c r="AZ68">
        <v>107</v>
      </c>
      <c r="BA68" s="21">
        <v>0.17799999999999999</v>
      </c>
    </row>
    <row r="69" spans="1:53" x14ac:dyDescent="0.25">
      <c r="A69" s="1" t="s">
        <v>528</v>
      </c>
      <c r="B69">
        <v>68</v>
      </c>
      <c r="C69">
        <v>8.6</v>
      </c>
      <c r="D69">
        <v>146</v>
      </c>
      <c r="E69">
        <v>2.1</v>
      </c>
      <c r="F69">
        <v>47</v>
      </c>
      <c r="G69">
        <v>9.6999999999999993</v>
      </c>
      <c r="H69">
        <v>47</v>
      </c>
      <c r="I69">
        <v>4.2</v>
      </c>
      <c r="J69">
        <v>79</v>
      </c>
      <c r="K69">
        <v>1.4</v>
      </c>
      <c r="L69">
        <v>192</v>
      </c>
      <c r="M69">
        <v>10.4</v>
      </c>
      <c r="N69">
        <v>223</v>
      </c>
      <c r="O69">
        <v>1.0429999999999999</v>
      </c>
      <c r="P69">
        <v>233</v>
      </c>
      <c r="Q69">
        <v>1.2</v>
      </c>
      <c r="R69">
        <v>27</v>
      </c>
      <c r="S69">
        <v>0.75</v>
      </c>
      <c r="T69">
        <v>73</v>
      </c>
      <c r="U69">
        <v>0.97899999999999998</v>
      </c>
      <c r="V69">
        <v>53</v>
      </c>
      <c r="W69">
        <v>0.92800000000000005</v>
      </c>
      <c r="X69">
        <v>308</v>
      </c>
      <c r="Y69">
        <v>0.98</v>
      </c>
      <c r="Z69">
        <v>78</v>
      </c>
      <c r="AA69">
        <v>0.996</v>
      </c>
      <c r="AB69">
        <v>330</v>
      </c>
      <c r="AC69" s="21">
        <v>0.46800000000000003</v>
      </c>
      <c r="AD69" s="21">
        <v>0.437</v>
      </c>
      <c r="AE69">
        <v>354</v>
      </c>
      <c r="AF69">
        <v>180</v>
      </c>
      <c r="AG69" s="21">
        <v>0.50900000000000001</v>
      </c>
      <c r="AH69">
        <v>247</v>
      </c>
      <c r="AI69">
        <v>18.443000000000001</v>
      </c>
      <c r="AJ69">
        <v>40</v>
      </c>
      <c r="AK69" s="21">
        <v>0.20499999999999999</v>
      </c>
      <c r="AL69">
        <v>302</v>
      </c>
      <c r="AM69" s="21">
        <v>0.27100000000000002</v>
      </c>
      <c r="AN69">
        <v>342</v>
      </c>
      <c r="AO69" s="21">
        <v>0.3</v>
      </c>
      <c r="AP69">
        <v>60</v>
      </c>
      <c r="AQ69" s="21">
        <v>0.316</v>
      </c>
      <c r="AR69">
        <v>93</v>
      </c>
      <c r="AS69" s="21">
        <v>0.309</v>
      </c>
      <c r="AT69">
        <v>199</v>
      </c>
      <c r="AU69" s="21">
        <v>0.72</v>
      </c>
      <c r="AV69">
        <v>237</v>
      </c>
      <c r="AW69">
        <v>69</v>
      </c>
      <c r="AX69">
        <v>189</v>
      </c>
      <c r="AY69" s="21">
        <v>0.16900000000000001</v>
      </c>
      <c r="AZ69">
        <v>60</v>
      </c>
      <c r="BA69" s="21">
        <v>0.19</v>
      </c>
    </row>
    <row r="70" spans="1:53" x14ac:dyDescent="0.25">
      <c r="A70" s="1" t="s">
        <v>212</v>
      </c>
      <c r="B70">
        <v>69</v>
      </c>
      <c r="C70">
        <v>8.6</v>
      </c>
      <c r="D70">
        <v>44</v>
      </c>
      <c r="E70">
        <v>13.6</v>
      </c>
      <c r="F70">
        <v>34</v>
      </c>
      <c r="G70">
        <v>11</v>
      </c>
      <c r="H70">
        <v>30</v>
      </c>
      <c r="I70">
        <v>6.7</v>
      </c>
      <c r="J70">
        <v>191</v>
      </c>
      <c r="K70">
        <v>-0.1</v>
      </c>
      <c r="L70">
        <v>141</v>
      </c>
      <c r="M70">
        <v>9.9</v>
      </c>
      <c r="N70">
        <v>222</v>
      </c>
      <c r="O70">
        <v>1.0429999999999999</v>
      </c>
      <c r="P70">
        <v>284</v>
      </c>
      <c r="Q70">
        <v>1.284</v>
      </c>
      <c r="R70">
        <v>158</v>
      </c>
      <c r="S70">
        <v>0.5</v>
      </c>
      <c r="T70">
        <v>316</v>
      </c>
      <c r="U70">
        <v>0.92700000000000005</v>
      </c>
      <c r="V70">
        <v>249</v>
      </c>
      <c r="W70">
        <v>0.96699999999999997</v>
      </c>
      <c r="X70">
        <v>222</v>
      </c>
      <c r="Y70">
        <v>1.018</v>
      </c>
      <c r="Z70">
        <v>217</v>
      </c>
      <c r="AA70">
        <v>1.0529999999999999</v>
      </c>
      <c r="AB70">
        <v>140</v>
      </c>
      <c r="AC70" s="21">
        <v>0.51400000000000001</v>
      </c>
      <c r="AD70" s="21">
        <v>0.50800000000000001</v>
      </c>
      <c r="AE70">
        <v>107</v>
      </c>
      <c r="AF70">
        <v>162</v>
      </c>
      <c r="AG70" s="21">
        <v>0.505</v>
      </c>
      <c r="AH70">
        <v>135</v>
      </c>
      <c r="AI70">
        <v>20.52</v>
      </c>
      <c r="AJ70">
        <v>145</v>
      </c>
      <c r="AK70" s="21">
        <v>0.23499999999999999</v>
      </c>
      <c r="AL70">
        <v>73</v>
      </c>
      <c r="AM70" s="21">
        <v>0.35599999999999998</v>
      </c>
      <c r="AN70">
        <v>71</v>
      </c>
      <c r="AO70" s="21">
        <v>0.35799999999999998</v>
      </c>
      <c r="AP70">
        <v>116</v>
      </c>
      <c r="AQ70" s="21">
        <v>0.32900000000000001</v>
      </c>
      <c r="AR70">
        <v>325</v>
      </c>
      <c r="AS70" s="21">
        <v>0.221</v>
      </c>
      <c r="AT70">
        <v>200</v>
      </c>
      <c r="AU70" s="21">
        <v>0.72</v>
      </c>
      <c r="AV70">
        <v>58</v>
      </c>
      <c r="AW70">
        <v>72.599999999999994</v>
      </c>
      <c r="AX70">
        <v>197</v>
      </c>
      <c r="AY70" s="21">
        <v>0.17</v>
      </c>
      <c r="AZ70">
        <v>261</v>
      </c>
      <c r="BA70" s="21">
        <v>0.156</v>
      </c>
    </row>
    <row r="71" spans="1:53" x14ac:dyDescent="0.25">
      <c r="A71" s="1" t="s">
        <v>213</v>
      </c>
      <c r="B71">
        <v>70</v>
      </c>
      <c r="C71">
        <v>8.4</v>
      </c>
      <c r="D71">
        <v>55</v>
      </c>
      <c r="E71">
        <v>11.8</v>
      </c>
      <c r="F71">
        <v>55</v>
      </c>
      <c r="G71">
        <v>8.9</v>
      </c>
      <c r="H71">
        <v>40</v>
      </c>
      <c r="I71">
        <v>5</v>
      </c>
      <c r="J71">
        <v>302</v>
      </c>
      <c r="K71">
        <v>-1.8</v>
      </c>
      <c r="L71">
        <v>199</v>
      </c>
      <c r="M71">
        <v>10.4</v>
      </c>
      <c r="N71">
        <v>101</v>
      </c>
      <c r="O71">
        <v>1.2629999999999999</v>
      </c>
      <c r="P71">
        <v>362</v>
      </c>
      <c r="Q71">
        <v>1.7729999999999999</v>
      </c>
      <c r="R71">
        <v>279</v>
      </c>
      <c r="S71">
        <v>0.33300000000000002</v>
      </c>
      <c r="T71">
        <v>247</v>
      </c>
      <c r="U71">
        <v>0.94099999999999995</v>
      </c>
      <c r="V71">
        <v>363</v>
      </c>
      <c r="W71">
        <v>1.026</v>
      </c>
      <c r="X71">
        <v>102</v>
      </c>
      <c r="Y71">
        <v>1.07</v>
      </c>
      <c r="Z71">
        <v>267</v>
      </c>
      <c r="AA71">
        <v>1.07</v>
      </c>
      <c r="AB71">
        <v>80</v>
      </c>
      <c r="AC71" s="21">
        <v>0.53</v>
      </c>
      <c r="AD71" s="21">
        <v>0.52100000000000002</v>
      </c>
      <c r="AE71">
        <v>62</v>
      </c>
      <c r="AF71">
        <v>108</v>
      </c>
      <c r="AG71" s="21">
        <v>0.49399999999999999</v>
      </c>
      <c r="AH71">
        <v>62</v>
      </c>
      <c r="AI71">
        <v>22.129000000000001</v>
      </c>
      <c r="AJ71">
        <v>4</v>
      </c>
      <c r="AK71" s="21">
        <v>0.16800000000000001</v>
      </c>
      <c r="AL71">
        <v>113</v>
      </c>
      <c r="AM71" s="21">
        <v>0.33600000000000002</v>
      </c>
      <c r="AN71">
        <v>47</v>
      </c>
      <c r="AO71" s="21">
        <v>0.36599999999999999</v>
      </c>
      <c r="AP71">
        <v>47</v>
      </c>
      <c r="AQ71" s="21">
        <v>0.313</v>
      </c>
      <c r="AR71">
        <v>301</v>
      </c>
      <c r="AS71" s="21">
        <v>0.23599999999999999</v>
      </c>
      <c r="AT71">
        <v>181</v>
      </c>
      <c r="AU71" s="21">
        <v>0.72399999999999998</v>
      </c>
      <c r="AV71">
        <v>235</v>
      </c>
      <c r="AW71">
        <v>69</v>
      </c>
      <c r="AX71">
        <v>129</v>
      </c>
      <c r="AY71" s="21">
        <v>0.16</v>
      </c>
      <c r="AZ71">
        <v>362</v>
      </c>
      <c r="BA71" s="21">
        <v>0.112</v>
      </c>
    </row>
    <row r="72" spans="1:53" x14ac:dyDescent="0.25">
      <c r="A72" s="1" t="s">
        <v>149</v>
      </c>
      <c r="B72">
        <v>71</v>
      </c>
      <c r="C72">
        <v>8.3000000000000007</v>
      </c>
      <c r="D72">
        <v>148</v>
      </c>
      <c r="E72">
        <v>1.6</v>
      </c>
      <c r="F72">
        <v>53</v>
      </c>
      <c r="G72">
        <v>9.4</v>
      </c>
      <c r="H72">
        <v>94</v>
      </c>
      <c r="I72">
        <v>0.9</v>
      </c>
      <c r="J72">
        <v>231</v>
      </c>
      <c r="K72">
        <v>-0.7</v>
      </c>
      <c r="L72">
        <v>279</v>
      </c>
      <c r="M72">
        <v>11.2</v>
      </c>
      <c r="N72">
        <v>275</v>
      </c>
      <c r="O72">
        <v>0.97599999999999998</v>
      </c>
      <c r="P72">
        <v>155</v>
      </c>
      <c r="Q72">
        <v>1.0860000000000001</v>
      </c>
      <c r="R72">
        <v>50</v>
      </c>
      <c r="S72">
        <v>0.66700000000000004</v>
      </c>
      <c r="T72">
        <v>256</v>
      </c>
      <c r="U72">
        <v>0.93899999999999995</v>
      </c>
      <c r="V72">
        <v>329</v>
      </c>
      <c r="W72">
        <v>0.98799999999999999</v>
      </c>
      <c r="X72">
        <v>216</v>
      </c>
      <c r="Y72">
        <v>1.0209999999999999</v>
      </c>
      <c r="Z72">
        <v>129</v>
      </c>
      <c r="AA72">
        <v>1.0169999999999999</v>
      </c>
      <c r="AB72">
        <v>157</v>
      </c>
      <c r="AC72" s="21">
        <v>0.51100000000000001</v>
      </c>
      <c r="AD72" s="21">
        <v>0.47399999999999998</v>
      </c>
      <c r="AE72">
        <v>277</v>
      </c>
      <c r="AF72">
        <v>61</v>
      </c>
      <c r="AG72" s="21">
        <v>0.48299999999999998</v>
      </c>
      <c r="AH72">
        <v>216</v>
      </c>
      <c r="AI72">
        <v>18.875</v>
      </c>
      <c r="AJ72">
        <v>99</v>
      </c>
      <c r="AK72" s="21">
        <v>0.222</v>
      </c>
      <c r="AL72">
        <v>171</v>
      </c>
      <c r="AM72" s="21">
        <v>0.317</v>
      </c>
      <c r="AN72">
        <v>335</v>
      </c>
      <c r="AO72" s="21">
        <v>0.30499999999999999</v>
      </c>
      <c r="AP72">
        <v>94</v>
      </c>
      <c r="AQ72" s="21">
        <v>0.32300000000000001</v>
      </c>
      <c r="AR72">
        <v>211</v>
      </c>
      <c r="AS72" s="21">
        <v>0.26900000000000002</v>
      </c>
      <c r="AT72">
        <v>319</v>
      </c>
      <c r="AU72" s="21">
        <v>0.68799999999999994</v>
      </c>
      <c r="AV72">
        <v>71</v>
      </c>
      <c r="AW72">
        <v>72.400000000000006</v>
      </c>
      <c r="AX72">
        <v>277</v>
      </c>
      <c r="AY72" s="21">
        <v>0.18099999999999999</v>
      </c>
      <c r="AZ72">
        <v>231</v>
      </c>
      <c r="BA72" s="21">
        <v>0.161</v>
      </c>
    </row>
    <row r="73" spans="1:53" x14ac:dyDescent="0.25">
      <c r="A73" s="1" t="s">
        <v>23</v>
      </c>
      <c r="B73">
        <v>72</v>
      </c>
      <c r="C73">
        <v>8.3000000000000007</v>
      </c>
      <c r="D73">
        <v>40</v>
      </c>
      <c r="E73">
        <v>14.1</v>
      </c>
      <c r="F73">
        <v>87</v>
      </c>
      <c r="G73">
        <v>4.5999999999999996</v>
      </c>
      <c r="H73">
        <v>41</v>
      </c>
      <c r="I73">
        <v>4.9000000000000004</v>
      </c>
      <c r="J73">
        <v>70</v>
      </c>
      <c r="K73">
        <v>1.7</v>
      </c>
      <c r="L73">
        <v>259</v>
      </c>
      <c r="M73">
        <v>11</v>
      </c>
      <c r="N73">
        <v>34</v>
      </c>
      <c r="O73">
        <v>1.4550000000000001</v>
      </c>
      <c r="P73">
        <v>127</v>
      </c>
      <c r="Q73">
        <v>1.0489999999999999</v>
      </c>
      <c r="R73">
        <v>158</v>
      </c>
      <c r="S73">
        <v>0.5</v>
      </c>
      <c r="T73">
        <v>110</v>
      </c>
      <c r="U73">
        <v>0.96899999999999997</v>
      </c>
      <c r="V73">
        <v>130</v>
      </c>
      <c r="W73">
        <v>0.94899999999999995</v>
      </c>
      <c r="X73">
        <v>65</v>
      </c>
      <c r="Y73">
        <v>1.095</v>
      </c>
      <c r="Z73">
        <v>161</v>
      </c>
      <c r="AA73">
        <v>1.028</v>
      </c>
      <c r="AB73">
        <v>93</v>
      </c>
      <c r="AC73" s="21">
        <v>0.52600000000000002</v>
      </c>
      <c r="AD73" s="21">
        <v>0.52100000000000002</v>
      </c>
      <c r="AE73">
        <v>62</v>
      </c>
      <c r="AF73">
        <v>155</v>
      </c>
      <c r="AG73" s="21">
        <v>0.504</v>
      </c>
      <c r="AH73">
        <v>31</v>
      </c>
      <c r="AI73">
        <v>23.408000000000001</v>
      </c>
      <c r="AJ73">
        <v>114</v>
      </c>
      <c r="AK73" s="21">
        <v>0.22700000000000001</v>
      </c>
      <c r="AL73">
        <v>158</v>
      </c>
      <c r="AM73" s="21">
        <v>0.32200000000000001</v>
      </c>
      <c r="AN73">
        <v>82</v>
      </c>
      <c r="AO73" s="21">
        <v>0.35599999999999998</v>
      </c>
      <c r="AP73">
        <v>90</v>
      </c>
      <c r="AQ73" s="21">
        <v>0.32300000000000001</v>
      </c>
      <c r="AR73">
        <v>199</v>
      </c>
      <c r="AS73" s="21">
        <v>0.27400000000000002</v>
      </c>
      <c r="AT73">
        <v>139</v>
      </c>
      <c r="AU73" s="21">
        <v>0.73199999999999998</v>
      </c>
      <c r="AV73">
        <v>257</v>
      </c>
      <c r="AW73">
        <v>68.599999999999994</v>
      </c>
      <c r="AX73">
        <v>64</v>
      </c>
      <c r="AY73" s="21">
        <v>0.152</v>
      </c>
      <c r="AZ73">
        <v>132</v>
      </c>
      <c r="BA73" s="21">
        <v>0.17299999999999999</v>
      </c>
    </row>
    <row r="74" spans="1:53" x14ac:dyDescent="0.25">
      <c r="A74" s="1" t="s">
        <v>529</v>
      </c>
      <c r="B74">
        <v>73</v>
      </c>
      <c r="C74">
        <v>8.1999999999999993</v>
      </c>
      <c r="D74">
        <v>98</v>
      </c>
      <c r="E74">
        <v>6.5</v>
      </c>
      <c r="F74">
        <v>145</v>
      </c>
      <c r="G74">
        <v>-0.9</v>
      </c>
      <c r="H74">
        <v>49</v>
      </c>
      <c r="I74">
        <v>3.9</v>
      </c>
      <c r="J74">
        <v>160</v>
      </c>
      <c r="K74">
        <v>0.3</v>
      </c>
      <c r="L74">
        <v>51</v>
      </c>
      <c r="M74">
        <v>8.9</v>
      </c>
      <c r="N74">
        <v>106</v>
      </c>
      <c r="O74">
        <v>1.254</v>
      </c>
      <c r="P74">
        <v>19</v>
      </c>
      <c r="Q74">
        <v>0.84799999999999998</v>
      </c>
      <c r="R74">
        <v>93</v>
      </c>
      <c r="S74">
        <v>0.6</v>
      </c>
      <c r="T74">
        <v>33</v>
      </c>
      <c r="U74">
        <v>0.997</v>
      </c>
      <c r="V74">
        <v>49</v>
      </c>
      <c r="W74">
        <v>0.92800000000000005</v>
      </c>
      <c r="X74">
        <v>37</v>
      </c>
      <c r="Y74">
        <v>1.1180000000000001</v>
      </c>
      <c r="Z74">
        <v>18</v>
      </c>
      <c r="AA74">
        <v>0.95199999999999996</v>
      </c>
      <c r="AB74">
        <v>75</v>
      </c>
      <c r="AC74" s="21">
        <v>0.53300000000000003</v>
      </c>
      <c r="AD74" s="21">
        <v>0.54200000000000004</v>
      </c>
      <c r="AE74">
        <v>31</v>
      </c>
      <c r="AF74">
        <v>38</v>
      </c>
      <c r="AG74" s="21">
        <v>0.47499999999999998</v>
      </c>
      <c r="AH74">
        <v>96</v>
      </c>
      <c r="AI74">
        <v>21.408999999999999</v>
      </c>
      <c r="AJ74">
        <v>105</v>
      </c>
      <c r="AK74" s="21">
        <v>0.224</v>
      </c>
      <c r="AL74">
        <v>226</v>
      </c>
      <c r="AM74" s="21">
        <v>0.29799999999999999</v>
      </c>
      <c r="AN74">
        <v>77</v>
      </c>
      <c r="AO74" s="21">
        <v>0.35599999999999998</v>
      </c>
      <c r="AP74">
        <v>84</v>
      </c>
      <c r="AQ74" s="21">
        <v>0.32200000000000001</v>
      </c>
      <c r="AR74">
        <v>28</v>
      </c>
      <c r="AS74" s="21">
        <v>0.33800000000000002</v>
      </c>
      <c r="AT74">
        <v>261</v>
      </c>
      <c r="AU74" s="21">
        <v>0.70699999999999996</v>
      </c>
      <c r="AV74">
        <v>316</v>
      </c>
      <c r="AW74">
        <v>67.400000000000006</v>
      </c>
      <c r="AX74">
        <v>116</v>
      </c>
      <c r="AY74" s="21">
        <v>0.159</v>
      </c>
      <c r="AZ74">
        <v>16</v>
      </c>
      <c r="BA74" s="21">
        <v>0.21099999999999999</v>
      </c>
    </row>
    <row r="75" spans="1:53" x14ac:dyDescent="0.25">
      <c r="A75" s="1" t="s">
        <v>530</v>
      </c>
      <c r="B75">
        <v>74</v>
      </c>
      <c r="C75">
        <v>8.1</v>
      </c>
      <c r="D75">
        <v>82</v>
      </c>
      <c r="E75">
        <v>9</v>
      </c>
      <c r="F75">
        <v>49</v>
      </c>
      <c r="G75">
        <v>9.6999999999999993</v>
      </c>
      <c r="H75">
        <v>81</v>
      </c>
      <c r="I75">
        <v>1.7</v>
      </c>
      <c r="J75">
        <v>317</v>
      </c>
      <c r="K75">
        <v>-2.1</v>
      </c>
      <c r="L75">
        <v>282</v>
      </c>
      <c r="M75">
        <v>11.2</v>
      </c>
      <c r="N75">
        <v>242</v>
      </c>
      <c r="O75">
        <v>1.0229999999999999</v>
      </c>
      <c r="P75">
        <v>258</v>
      </c>
      <c r="Q75">
        <v>1.242</v>
      </c>
      <c r="R75">
        <v>348</v>
      </c>
      <c r="S75">
        <v>0.111</v>
      </c>
      <c r="T75">
        <v>258</v>
      </c>
      <c r="U75">
        <v>0.93899999999999995</v>
      </c>
      <c r="V75">
        <v>195</v>
      </c>
      <c r="W75">
        <v>0.95899999999999996</v>
      </c>
      <c r="X75">
        <v>241</v>
      </c>
      <c r="Y75">
        <v>1.0109999999999999</v>
      </c>
      <c r="Z75">
        <v>174</v>
      </c>
      <c r="AA75">
        <v>1.0349999999999999</v>
      </c>
      <c r="AB75">
        <v>273</v>
      </c>
      <c r="AC75" s="21">
        <v>0.48899999999999999</v>
      </c>
      <c r="AD75" s="21">
        <v>0.46100000000000002</v>
      </c>
      <c r="AE75">
        <v>320</v>
      </c>
      <c r="AF75">
        <v>217</v>
      </c>
      <c r="AG75" s="21">
        <v>0.51500000000000001</v>
      </c>
      <c r="AH75">
        <v>18</v>
      </c>
      <c r="AI75">
        <v>24.311</v>
      </c>
      <c r="AJ75">
        <v>120</v>
      </c>
      <c r="AK75" s="21">
        <v>0.22700000000000001</v>
      </c>
      <c r="AL75">
        <v>256</v>
      </c>
      <c r="AM75" s="21">
        <v>0.28799999999999998</v>
      </c>
      <c r="AN75">
        <v>286</v>
      </c>
      <c r="AO75" s="21">
        <v>0.316</v>
      </c>
      <c r="AP75">
        <v>246</v>
      </c>
      <c r="AQ75" s="21">
        <v>0.34799999999999998</v>
      </c>
      <c r="AR75">
        <v>186</v>
      </c>
      <c r="AS75" s="21">
        <v>0.27700000000000002</v>
      </c>
      <c r="AT75">
        <v>66</v>
      </c>
      <c r="AU75" s="21">
        <v>0.748</v>
      </c>
      <c r="AV75">
        <v>234</v>
      </c>
      <c r="AW75">
        <v>69</v>
      </c>
      <c r="AX75">
        <v>266</v>
      </c>
      <c r="AY75" s="21">
        <v>0.17899999999999999</v>
      </c>
      <c r="AZ75">
        <v>290</v>
      </c>
      <c r="BA75" s="21">
        <v>0.152</v>
      </c>
    </row>
    <row r="76" spans="1:53" x14ac:dyDescent="0.25">
      <c r="A76" s="1" t="s">
        <v>126</v>
      </c>
      <c r="B76">
        <v>75</v>
      </c>
      <c r="C76">
        <v>8.1</v>
      </c>
      <c r="D76">
        <v>92</v>
      </c>
      <c r="E76">
        <v>7.4</v>
      </c>
      <c r="F76">
        <v>126</v>
      </c>
      <c r="G76">
        <v>-0.1</v>
      </c>
      <c r="H76">
        <v>87</v>
      </c>
      <c r="I76">
        <v>1.2</v>
      </c>
      <c r="J76">
        <v>227</v>
      </c>
      <c r="K76">
        <v>-0.6</v>
      </c>
      <c r="L76">
        <v>153</v>
      </c>
      <c r="M76">
        <v>10.1</v>
      </c>
      <c r="N76">
        <v>13</v>
      </c>
      <c r="O76">
        <v>1.585</v>
      </c>
      <c r="P76">
        <v>279</v>
      </c>
      <c r="Q76">
        <v>1.2769999999999999</v>
      </c>
      <c r="R76">
        <v>77</v>
      </c>
      <c r="S76">
        <v>0.625</v>
      </c>
      <c r="T76">
        <v>41</v>
      </c>
      <c r="U76">
        <v>0.99</v>
      </c>
      <c r="V76">
        <v>166</v>
      </c>
      <c r="W76">
        <v>0.95399999999999996</v>
      </c>
      <c r="X76">
        <v>13</v>
      </c>
      <c r="Y76">
        <v>1.1479999999999999</v>
      </c>
      <c r="Z76">
        <v>87</v>
      </c>
      <c r="AA76">
        <v>1</v>
      </c>
      <c r="AB76">
        <v>41</v>
      </c>
      <c r="AC76" s="21">
        <v>0.54800000000000004</v>
      </c>
      <c r="AD76" s="21">
        <v>0.55100000000000005</v>
      </c>
      <c r="AE76">
        <v>13</v>
      </c>
      <c r="AF76">
        <v>88</v>
      </c>
      <c r="AG76" s="21">
        <v>0.48799999999999999</v>
      </c>
      <c r="AH76">
        <v>143</v>
      </c>
      <c r="AI76">
        <v>20.352</v>
      </c>
      <c r="AJ76">
        <v>73</v>
      </c>
      <c r="AK76" s="21">
        <v>0.216</v>
      </c>
      <c r="AL76">
        <v>292</v>
      </c>
      <c r="AM76" s="21">
        <v>0.27800000000000002</v>
      </c>
      <c r="AN76">
        <v>9</v>
      </c>
      <c r="AO76" s="21">
        <v>0.38500000000000001</v>
      </c>
      <c r="AP76">
        <v>172</v>
      </c>
      <c r="AQ76" s="21">
        <v>0.33700000000000002</v>
      </c>
      <c r="AR76">
        <v>104</v>
      </c>
      <c r="AS76" s="21">
        <v>0.30599999999999999</v>
      </c>
      <c r="AT76">
        <v>21</v>
      </c>
      <c r="AU76" s="21">
        <v>0.76700000000000002</v>
      </c>
      <c r="AV76">
        <v>161</v>
      </c>
      <c r="AW76">
        <v>70.5</v>
      </c>
      <c r="AX76">
        <v>18</v>
      </c>
      <c r="AY76" s="21">
        <v>0.14000000000000001</v>
      </c>
      <c r="AZ76">
        <v>257</v>
      </c>
      <c r="BA76" s="21">
        <v>0.157</v>
      </c>
    </row>
    <row r="77" spans="1:53" x14ac:dyDescent="0.25">
      <c r="A77" s="1" t="s">
        <v>107</v>
      </c>
      <c r="B77">
        <v>76</v>
      </c>
      <c r="C77">
        <v>8.1</v>
      </c>
      <c r="D77">
        <v>34</v>
      </c>
      <c r="E77">
        <v>15.5</v>
      </c>
      <c r="F77">
        <v>111</v>
      </c>
      <c r="G77">
        <v>0.7</v>
      </c>
      <c r="H77">
        <v>122</v>
      </c>
      <c r="I77">
        <v>-0.6</v>
      </c>
      <c r="J77">
        <v>3</v>
      </c>
      <c r="K77">
        <v>5</v>
      </c>
      <c r="L77">
        <v>8</v>
      </c>
      <c r="M77">
        <v>7.9</v>
      </c>
      <c r="N77">
        <v>174</v>
      </c>
      <c r="O77">
        <v>1.135</v>
      </c>
      <c r="P77">
        <v>5</v>
      </c>
      <c r="Q77">
        <v>0.754</v>
      </c>
      <c r="R77">
        <v>41</v>
      </c>
      <c r="S77">
        <v>0.71399999999999997</v>
      </c>
      <c r="T77">
        <v>124</v>
      </c>
      <c r="U77">
        <v>0.96599999999999997</v>
      </c>
      <c r="V77">
        <v>1</v>
      </c>
      <c r="W77">
        <v>0.876</v>
      </c>
      <c r="X77">
        <v>43</v>
      </c>
      <c r="Y77">
        <v>1.1100000000000001</v>
      </c>
      <c r="Z77">
        <v>26</v>
      </c>
      <c r="AA77">
        <v>0.96499999999999997</v>
      </c>
      <c r="AB77">
        <v>58</v>
      </c>
      <c r="AC77" s="21">
        <v>0.53800000000000003</v>
      </c>
      <c r="AD77" s="21">
        <v>0.53600000000000003</v>
      </c>
      <c r="AE77">
        <v>36</v>
      </c>
      <c r="AF77">
        <v>229</v>
      </c>
      <c r="AG77" s="21">
        <v>0.51700000000000002</v>
      </c>
      <c r="AH77">
        <v>16</v>
      </c>
      <c r="AI77">
        <v>24.442</v>
      </c>
      <c r="AJ77">
        <v>190</v>
      </c>
      <c r="AK77" s="21">
        <v>0.245</v>
      </c>
      <c r="AL77">
        <v>276</v>
      </c>
      <c r="AM77" s="21">
        <v>0.28000000000000003</v>
      </c>
      <c r="AN77">
        <v>110</v>
      </c>
      <c r="AO77" s="21">
        <v>0.35</v>
      </c>
      <c r="AP77">
        <v>65</v>
      </c>
      <c r="AQ77" s="21">
        <v>0.318</v>
      </c>
      <c r="AR77">
        <v>10</v>
      </c>
      <c r="AS77" s="21">
        <v>0.35899999999999999</v>
      </c>
      <c r="AT77">
        <v>18</v>
      </c>
      <c r="AU77" s="21">
        <v>0.77</v>
      </c>
      <c r="AV77">
        <v>364</v>
      </c>
      <c r="AW77">
        <v>61.9</v>
      </c>
      <c r="AX77">
        <v>283</v>
      </c>
      <c r="AY77" s="21">
        <v>0.182</v>
      </c>
      <c r="AZ77">
        <v>9</v>
      </c>
      <c r="BA77" s="21">
        <v>0.216</v>
      </c>
    </row>
    <row r="78" spans="1:53" x14ac:dyDescent="0.25">
      <c r="A78" s="1" t="s">
        <v>203</v>
      </c>
      <c r="B78">
        <v>77</v>
      </c>
      <c r="C78">
        <v>8</v>
      </c>
      <c r="D78">
        <v>73</v>
      </c>
      <c r="E78">
        <v>10.199999999999999</v>
      </c>
      <c r="F78">
        <v>108</v>
      </c>
      <c r="G78">
        <v>0.8</v>
      </c>
      <c r="H78">
        <v>71</v>
      </c>
      <c r="I78">
        <v>2.2999999999999998</v>
      </c>
      <c r="J78">
        <v>37</v>
      </c>
      <c r="K78">
        <v>2.4</v>
      </c>
      <c r="L78">
        <v>245</v>
      </c>
      <c r="M78">
        <v>10.8</v>
      </c>
      <c r="N78">
        <v>118</v>
      </c>
      <c r="O78">
        <v>1.2330000000000001</v>
      </c>
      <c r="P78">
        <v>156</v>
      </c>
      <c r="Q78">
        <v>1.087</v>
      </c>
      <c r="R78">
        <v>50</v>
      </c>
      <c r="S78">
        <v>0.66700000000000004</v>
      </c>
      <c r="T78">
        <v>302</v>
      </c>
      <c r="U78">
        <v>0.93</v>
      </c>
      <c r="V78">
        <v>106</v>
      </c>
      <c r="W78">
        <v>0.94399999999999995</v>
      </c>
      <c r="X78">
        <v>144</v>
      </c>
      <c r="Y78">
        <v>1.052</v>
      </c>
      <c r="Z78">
        <v>7</v>
      </c>
      <c r="AA78">
        <v>0.92600000000000005</v>
      </c>
      <c r="AB78">
        <v>129</v>
      </c>
      <c r="AC78" s="21">
        <v>0.51600000000000001</v>
      </c>
      <c r="AD78" s="21">
        <v>0.52200000000000002</v>
      </c>
      <c r="AE78">
        <v>60</v>
      </c>
      <c r="AF78">
        <v>16</v>
      </c>
      <c r="AG78" s="21">
        <v>0.46200000000000002</v>
      </c>
      <c r="AH78">
        <v>34</v>
      </c>
      <c r="AI78">
        <v>23.297000000000001</v>
      </c>
      <c r="AJ78">
        <v>3</v>
      </c>
      <c r="AK78" s="21">
        <v>0.16700000000000001</v>
      </c>
      <c r="AL78">
        <v>283</v>
      </c>
      <c r="AM78" s="21">
        <v>0.28000000000000003</v>
      </c>
      <c r="AN78">
        <v>97</v>
      </c>
      <c r="AO78" s="21">
        <v>0.35199999999999998</v>
      </c>
      <c r="AP78">
        <v>192</v>
      </c>
      <c r="AQ78" s="21">
        <v>0.34</v>
      </c>
      <c r="AR78">
        <v>230</v>
      </c>
      <c r="AS78" s="21">
        <v>0.25900000000000001</v>
      </c>
      <c r="AT78">
        <v>35</v>
      </c>
      <c r="AU78" s="21">
        <v>0.75900000000000001</v>
      </c>
      <c r="AV78">
        <v>86</v>
      </c>
      <c r="AW78">
        <v>71.900000000000006</v>
      </c>
      <c r="AX78">
        <v>259</v>
      </c>
      <c r="AY78" s="21">
        <v>0.17899999999999999</v>
      </c>
      <c r="AZ78">
        <v>124</v>
      </c>
      <c r="BA78" s="21">
        <v>0.17499999999999999</v>
      </c>
    </row>
    <row r="79" spans="1:53" x14ac:dyDescent="0.25">
      <c r="A79" s="1" t="s">
        <v>104</v>
      </c>
      <c r="B79">
        <v>78</v>
      </c>
      <c r="C79">
        <v>7.9</v>
      </c>
      <c r="D79">
        <v>64</v>
      </c>
      <c r="E79">
        <v>11.2</v>
      </c>
      <c r="F79">
        <v>88</v>
      </c>
      <c r="G79">
        <v>4.5999999999999996</v>
      </c>
      <c r="H79">
        <v>66</v>
      </c>
      <c r="I79">
        <v>2.8</v>
      </c>
      <c r="J79">
        <v>356</v>
      </c>
      <c r="K79">
        <v>-3.5</v>
      </c>
      <c r="L79">
        <v>122</v>
      </c>
      <c r="M79">
        <v>9.8000000000000007</v>
      </c>
      <c r="N79">
        <v>29</v>
      </c>
      <c r="O79">
        <v>1.484</v>
      </c>
      <c r="P79">
        <v>198</v>
      </c>
      <c r="Q79">
        <v>1.1559999999999999</v>
      </c>
      <c r="R79">
        <v>348</v>
      </c>
      <c r="S79">
        <v>0.111</v>
      </c>
      <c r="T79">
        <v>153</v>
      </c>
      <c r="U79">
        <v>0.96</v>
      </c>
      <c r="V79">
        <v>28</v>
      </c>
      <c r="W79">
        <v>0.91900000000000004</v>
      </c>
      <c r="X79">
        <v>82</v>
      </c>
      <c r="Y79">
        <v>1.0820000000000001</v>
      </c>
      <c r="Z79">
        <v>139</v>
      </c>
      <c r="AA79">
        <v>1.02</v>
      </c>
      <c r="AB79">
        <v>60</v>
      </c>
      <c r="AC79" s="21">
        <v>0.53700000000000003</v>
      </c>
      <c r="AD79" s="21">
        <v>0.50600000000000001</v>
      </c>
      <c r="AE79">
        <v>118</v>
      </c>
      <c r="AF79">
        <v>206</v>
      </c>
      <c r="AG79" s="21">
        <v>0.51300000000000001</v>
      </c>
      <c r="AH79">
        <v>105</v>
      </c>
      <c r="AI79">
        <v>21.23</v>
      </c>
      <c r="AJ79">
        <v>294</v>
      </c>
      <c r="AK79" s="21">
        <v>0.27</v>
      </c>
      <c r="AL79">
        <v>257</v>
      </c>
      <c r="AM79" s="21">
        <v>0.28699999999999998</v>
      </c>
      <c r="AN79">
        <v>161</v>
      </c>
      <c r="AO79" s="21">
        <v>0.34100000000000003</v>
      </c>
      <c r="AP79">
        <v>294</v>
      </c>
      <c r="AQ79" s="21">
        <v>0.35699999999999998</v>
      </c>
      <c r="AR79">
        <v>231</v>
      </c>
      <c r="AS79" s="21">
        <v>0.25900000000000001</v>
      </c>
      <c r="AT79">
        <v>30</v>
      </c>
      <c r="AU79" s="21">
        <v>0.76300000000000001</v>
      </c>
      <c r="AV79">
        <v>337</v>
      </c>
      <c r="AW79">
        <v>66.8</v>
      </c>
      <c r="AX79">
        <v>66</v>
      </c>
      <c r="AY79" s="21">
        <v>0.152</v>
      </c>
      <c r="AZ79">
        <v>87</v>
      </c>
      <c r="BA79" s="21">
        <v>0.183</v>
      </c>
    </row>
    <row r="80" spans="1:53" x14ac:dyDescent="0.25">
      <c r="A80" s="1" t="s">
        <v>112</v>
      </c>
      <c r="B80">
        <v>79</v>
      </c>
      <c r="C80">
        <v>7.8</v>
      </c>
      <c r="D80">
        <v>76</v>
      </c>
      <c r="E80">
        <v>10</v>
      </c>
      <c r="F80">
        <v>46</v>
      </c>
      <c r="G80">
        <v>9.8000000000000007</v>
      </c>
      <c r="H80">
        <v>84</v>
      </c>
      <c r="I80">
        <v>1.5</v>
      </c>
      <c r="J80">
        <v>207</v>
      </c>
      <c r="K80">
        <v>-0.5</v>
      </c>
      <c r="L80">
        <v>20</v>
      </c>
      <c r="M80">
        <v>8.1999999999999993</v>
      </c>
      <c r="N80">
        <v>274</v>
      </c>
      <c r="O80">
        <v>0.98</v>
      </c>
      <c r="P80">
        <v>173</v>
      </c>
      <c r="Q80">
        <v>1.1200000000000001</v>
      </c>
      <c r="R80">
        <v>50</v>
      </c>
      <c r="S80">
        <v>0.66700000000000004</v>
      </c>
      <c r="T80">
        <v>351</v>
      </c>
      <c r="U80">
        <v>0.90600000000000003</v>
      </c>
      <c r="V80">
        <v>186</v>
      </c>
      <c r="W80">
        <v>0.95699999999999996</v>
      </c>
      <c r="X80">
        <v>279</v>
      </c>
      <c r="Y80">
        <v>0.99299999999999999</v>
      </c>
      <c r="Z80">
        <v>125</v>
      </c>
      <c r="AA80">
        <v>1.0149999999999999</v>
      </c>
      <c r="AB80">
        <v>192</v>
      </c>
      <c r="AC80" s="21">
        <v>0.50600000000000001</v>
      </c>
      <c r="AD80" s="21">
        <v>0.48399999999999999</v>
      </c>
      <c r="AE80">
        <v>241</v>
      </c>
      <c r="AF80">
        <v>114</v>
      </c>
      <c r="AG80" s="21">
        <v>0.495</v>
      </c>
      <c r="AH80">
        <v>107</v>
      </c>
      <c r="AI80">
        <v>21.186</v>
      </c>
      <c r="AJ80">
        <v>236</v>
      </c>
      <c r="AK80" s="21">
        <v>0.25600000000000001</v>
      </c>
      <c r="AL80">
        <v>280</v>
      </c>
      <c r="AM80" s="21">
        <v>0.28000000000000003</v>
      </c>
      <c r="AN80">
        <v>257</v>
      </c>
      <c r="AO80" s="21">
        <v>0.32200000000000001</v>
      </c>
      <c r="AP80">
        <v>197</v>
      </c>
      <c r="AQ80" s="21">
        <v>0.34100000000000003</v>
      </c>
      <c r="AR80">
        <v>214</v>
      </c>
      <c r="AS80" s="21">
        <v>0.26700000000000002</v>
      </c>
      <c r="AT80">
        <v>75</v>
      </c>
      <c r="AU80" s="21">
        <v>0.746</v>
      </c>
      <c r="AV80">
        <v>175</v>
      </c>
      <c r="AW80">
        <v>70.400000000000006</v>
      </c>
      <c r="AX80">
        <v>352</v>
      </c>
      <c r="AY80" s="21">
        <v>0.20499999999999999</v>
      </c>
      <c r="AZ80">
        <v>237</v>
      </c>
      <c r="BA80" s="21">
        <v>0.16</v>
      </c>
    </row>
    <row r="81" spans="1:53" x14ac:dyDescent="0.25">
      <c r="A81" s="1" t="s">
        <v>531</v>
      </c>
      <c r="B81">
        <v>80</v>
      </c>
      <c r="C81">
        <v>7.6</v>
      </c>
      <c r="D81">
        <v>37</v>
      </c>
      <c r="E81">
        <v>15</v>
      </c>
      <c r="F81">
        <v>96</v>
      </c>
      <c r="G81">
        <v>2.6</v>
      </c>
      <c r="H81">
        <v>108</v>
      </c>
      <c r="I81">
        <v>0.3</v>
      </c>
      <c r="J81">
        <v>20</v>
      </c>
      <c r="K81">
        <v>2.8</v>
      </c>
      <c r="L81">
        <v>21</v>
      </c>
      <c r="M81">
        <v>8.1999999999999993</v>
      </c>
      <c r="N81">
        <v>296</v>
      </c>
      <c r="O81">
        <v>0.93799999999999994</v>
      </c>
      <c r="P81">
        <v>34</v>
      </c>
      <c r="Q81">
        <v>0.91100000000000003</v>
      </c>
      <c r="R81">
        <v>50</v>
      </c>
      <c r="S81">
        <v>0.66700000000000004</v>
      </c>
      <c r="T81">
        <v>308</v>
      </c>
      <c r="U81">
        <v>0.92900000000000005</v>
      </c>
      <c r="V81">
        <v>160</v>
      </c>
      <c r="W81">
        <v>0.95399999999999996</v>
      </c>
      <c r="X81">
        <v>196</v>
      </c>
      <c r="Y81">
        <v>1.0289999999999999</v>
      </c>
      <c r="Z81">
        <v>10</v>
      </c>
      <c r="AA81">
        <v>0.93400000000000005</v>
      </c>
      <c r="AB81">
        <v>138</v>
      </c>
      <c r="AC81" s="21">
        <v>0.51500000000000001</v>
      </c>
      <c r="AD81" s="21">
        <v>0.496</v>
      </c>
      <c r="AE81">
        <v>175</v>
      </c>
      <c r="AF81">
        <v>5</v>
      </c>
      <c r="AG81" s="21">
        <v>0.45</v>
      </c>
      <c r="AH81">
        <v>37</v>
      </c>
      <c r="AI81">
        <v>23.106999999999999</v>
      </c>
      <c r="AJ81">
        <v>131</v>
      </c>
      <c r="AK81" s="21">
        <v>0.23</v>
      </c>
      <c r="AL81">
        <v>262</v>
      </c>
      <c r="AM81" s="21">
        <v>0.28599999999999998</v>
      </c>
      <c r="AN81">
        <v>93</v>
      </c>
      <c r="AO81" s="21">
        <v>0.35299999999999998</v>
      </c>
      <c r="AP81">
        <v>17</v>
      </c>
      <c r="AQ81" s="21">
        <v>0.30299999999999999</v>
      </c>
      <c r="AR81">
        <v>124</v>
      </c>
      <c r="AS81" s="21">
        <v>0.29499999999999998</v>
      </c>
      <c r="AT81">
        <v>172</v>
      </c>
      <c r="AU81" s="21">
        <v>0.72499999999999998</v>
      </c>
      <c r="AV81">
        <v>284</v>
      </c>
      <c r="AW81">
        <v>68.099999999999994</v>
      </c>
      <c r="AX81">
        <v>334</v>
      </c>
      <c r="AY81" s="21">
        <v>0.19500000000000001</v>
      </c>
      <c r="AZ81">
        <v>79</v>
      </c>
      <c r="BA81" s="21">
        <v>0.184</v>
      </c>
    </row>
    <row r="82" spans="1:53" x14ac:dyDescent="0.25">
      <c r="A82" s="1" t="s">
        <v>532</v>
      </c>
      <c r="B82">
        <v>81</v>
      </c>
      <c r="C82">
        <v>7.6</v>
      </c>
      <c r="D82">
        <v>69</v>
      </c>
      <c r="E82">
        <v>10.6</v>
      </c>
      <c r="F82">
        <v>95</v>
      </c>
      <c r="G82">
        <v>2.7</v>
      </c>
      <c r="H82">
        <v>90</v>
      </c>
      <c r="I82">
        <v>1.2</v>
      </c>
      <c r="J82">
        <v>263</v>
      </c>
      <c r="K82">
        <v>-1.1000000000000001</v>
      </c>
      <c r="L82">
        <v>159</v>
      </c>
      <c r="M82">
        <v>10.1</v>
      </c>
      <c r="N82">
        <v>92</v>
      </c>
      <c r="O82">
        <v>1.2869999999999999</v>
      </c>
      <c r="P82">
        <v>193</v>
      </c>
      <c r="Q82">
        <v>1.151</v>
      </c>
      <c r="R82">
        <v>223</v>
      </c>
      <c r="S82">
        <v>0.44400000000000001</v>
      </c>
      <c r="T82">
        <v>131</v>
      </c>
      <c r="U82">
        <v>0.96499999999999997</v>
      </c>
      <c r="V82">
        <v>188</v>
      </c>
      <c r="W82">
        <v>0.95799999999999996</v>
      </c>
      <c r="X82">
        <v>107</v>
      </c>
      <c r="Y82">
        <v>1.069</v>
      </c>
      <c r="Z82">
        <v>36</v>
      </c>
      <c r="AA82">
        <v>0.97299999999999998</v>
      </c>
      <c r="AB82">
        <v>112</v>
      </c>
      <c r="AC82" s="21">
        <v>0.52100000000000002</v>
      </c>
      <c r="AD82" s="21">
        <v>0.498</v>
      </c>
      <c r="AE82">
        <v>162</v>
      </c>
      <c r="AF82">
        <v>28</v>
      </c>
      <c r="AG82" s="21">
        <v>0.47099999999999997</v>
      </c>
      <c r="AH82">
        <v>160</v>
      </c>
      <c r="AI82">
        <v>20.021000000000001</v>
      </c>
      <c r="AJ82">
        <v>26</v>
      </c>
      <c r="AK82" s="21">
        <v>0.19900000000000001</v>
      </c>
      <c r="AL82">
        <v>53</v>
      </c>
      <c r="AM82" s="21">
        <v>0.37</v>
      </c>
      <c r="AN82">
        <v>172</v>
      </c>
      <c r="AO82" s="21">
        <v>0.34</v>
      </c>
      <c r="AP82">
        <v>162</v>
      </c>
      <c r="AQ82" s="21">
        <v>0.33500000000000002</v>
      </c>
      <c r="AR82">
        <v>161</v>
      </c>
      <c r="AS82" s="21">
        <v>0.28299999999999997</v>
      </c>
      <c r="AT82">
        <v>52</v>
      </c>
      <c r="AU82" s="21">
        <v>0.752</v>
      </c>
      <c r="AV82">
        <v>164</v>
      </c>
      <c r="AW82">
        <v>70.5</v>
      </c>
      <c r="AX82">
        <v>137</v>
      </c>
      <c r="AY82" s="21">
        <v>0.161</v>
      </c>
      <c r="AZ82">
        <v>253</v>
      </c>
      <c r="BA82" s="21">
        <v>0.157</v>
      </c>
    </row>
    <row r="83" spans="1:53" x14ac:dyDescent="0.25">
      <c r="A83" s="1" t="s">
        <v>15</v>
      </c>
      <c r="B83">
        <v>82</v>
      </c>
      <c r="C83">
        <v>7.5</v>
      </c>
      <c r="D83">
        <v>62</v>
      </c>
      <c r="E83">
        <v>11.3</v>
      </c>
      <c r="F83">
        <v>127</v>
      </c>
      <c r="G83">
        <v>-0.1</v>
      </c>
      <c r="H83">
        <v>146</v>
      </c>
      <c r="I83">
        <v>-1.2</v>
      </c>
      <c r="J83">
        <v>50</v>
      </c>
      <c r="K83">
        <v>2</v>
      </c>
      <c r="L83">
        <v>176</v>
      </c>
      <c r="M83">
        <v>10.3</v>
      </c>
      <c r="N83">
        <v>11</v>
      </c>
      <c r="O83">
        <v>1.59</v>
      </c>
      <c r="P83">
        <v>17</v>
      </c>
      <c r="Q83">
        <v>0.83399999999999996</v>
      </c>
      <c r="R83">
        <v>108</v>
      </c>
      <c r="S83">
        <v>0.58299999999999996</v>
      </c>
      <c r="T83">
        <v>320</v>
      </c>
      <c r="U83">
        <v>0.92300000000000004</v>
      </c>
      <c r="V83">
        <v>168</v>
      </c>
      <c r="W83">
        <v>0.95499999999999996</v>
      </c>
      <c r="X83">
        <v>66</v>
      </c>
      <c r="Y83">
        <v>1.0940000000000001</v>
      </c>
      <c r="Z83">
        <v>19</v>
      </c>
      <c r="AA83">
        <v>0.95299999999999996</v>
      </c>
      <c r="AB83">
        <v>2</v>
      </c>
      <c r="AC83" s="21">
        <v>0.58399999999999996</v>
      </c>
      <c r="AD83" s="21">
        <v>0.59799999999999998</v>
      </c>
      <c r="AE83">
        <v>1</v>
      </c>
      <c r="AF83">
        <v>10</v>
      </c>
      <c r="AG83" s="21">
        <v>0.46</v>
      </c>
      <c r="AH83">
        <v>331</v>
      </c>
      <c r="AI83">
        <v>16.135999999999999</v>
      </c>
      <c r="AJ83">
        <v>30</v>
      </c>
      <c r="AK83" s="21">
        <v>0.20100000000000001</v>
      </c>
      <c r="AL83">
        <v>8</v>
      </c>
      <c r="AM83" s="21">
        <v>0.41299999999999998</v>
      </c>
      <c r="AN83">
        <v>5</v>
      </c>
      <c r="AO83" s="21">
        <v>0.39500000000000002</v>
      </c>
      <c r="AP83">
        <v>3</v>
      </c>
      <c r="AQ83" s="21">
        <v>0.28000000000000003</v>
      </c>
      <c r="AR83">
        <v>360</v>
      </c>
      <c r="AS83" s="21">
        <v>0.17599999999999999</v>
      </c>
      <c r="AT83">
        <v>90</v>
      </c>
      <c r="AU83" s="21">
        <v>0.74199999999999999</v>
      </c>
      <c r="AV83">
        <v>287</v>
      </c>
      <c r="AW83">
        <v>68</v>
      </c>
      <c r="AX83">
        <v>54</v>
      </c>
      <c r="AY83" s="21">
        <v>0.15</v>
      </c>
      <c r="AZ83">
        <v>186</v>
      </c>
      <c r="BA83" s="21">
        <v>0.16600000000000001</v>
      </c>
    </row>
    <row r="84" spans="1:53" x14ac:dyDescent="0.25">
      <c r="A84" s="1" t="s">
        <v>136</v>
      </c>
      <c r="B84">
        <v>83</v>
      </c>
      <c r="C84">
        <v>7.5</v>
      </c>
      <c r="D84">
        <v>106</v>
      </c>
      <c r="E84">
        <v>5.6</v>
      </c>
      <c r="F84">
        <v>80</v>
      </c>
      <c r="G84">
        <v>5.9</v>
      </c>
      <c r="H84">
        <v>104</v>
      </c>
      <c r="I84">
        <v>0.3</v>
      </c>
      <c r="J84">
        <v>75</v>
      </c>
      <c r="K84">
        <v>1.5</v>
      </c>
      <c r="L84">
        <v>85</v>
      </c>
      <c r="M84">
        <v>9.4</v>
      </c>
      <c r="N84">
        <v>82</v>
      </c>
      <c r="O84">
        <v>1.304</v>
      </c>
      <c r="P84">
        <v>21</v>
      </c>
      <c r="Q84">
        <v>0.85599999999999998</v>
      </c>
      <c r="R84">
        <v>27</v>
      </c>
      <c r="S84">
        <v>0.75</v>
      </c>
      <c r="T84">
        <v>77</v>
      </c>
      <c r="U84">
        <v>0.97699999999999998</v>
      </c>
      <c r="V84">
        <v>90</v>
      </c>
      <c r="W84">
        <v>0.94</v>
      </c>
      <c r="X84">
        <v>114</v>
      </c>
      <c r="Y84">
        <v>1.0649999999999999</v>
      </c>
      <c r="Z84">
        <v>164</v>
      </c>
      <c r="AA84">
        <v>1.0289999999999999</v>
      </c>
      <c r="AB84">
        <v>198</v>
      </c>
      <c r="AC84" s="21">
        <v>0.504</v>
      </c>
      <c r="AD84" s="21">
        <v>0.46500000000000002</v>
      </c>
      <c r="AE84">
        <v>306</v>
      </c>
      <c r="AF84">
        <v>169</v>
      </c>
      <c r="AG84" s="21">
        <v>0.50600000000000001</v>
      </c>
      <c r="AH84">
        <v>159</v>
      </c>
      <c r="AI84">
        <v>20.021000000000001</v>
      </c>
      <c r="AJ84">
        <v>259</v>
      </c>
      <c r="AK84" s="21">
        <v>0.26</v>
      </c>
      <c r="AL84">
        <v>106</v>
      </c>
      <c r="AM84" s="21">
        <v>0.34100000000000003</v>
      </c>
      <c r="AN84">
        <v>159</v>
      </c>
      <c r="AO84" s="21">
        <v>0.34100000000000003</v>
      </c>
      <c r="AP84">
        <v>159</v>
      </c>
      <c r="AQ84" s="21">
        <v>0.33400000000000002</v>
      </c>
      <c r="AR84">
        <v>129</v>
      </c>
      <c r="AS84" s="21">
        <v>0.29299999999999998</v>
      </c>
      <c r="AT84">
        <v>104</v>
      </c>
      <c r="AU84" s="21">
        <v>0.73799999999999999</v>
      </c>
      <c r="AV84">
        <v>261</v>
      </c>
      <c r="AW84">
        <v>68.599999999999994</v>
      </c>
      <c r="AX84">
        <v>84</v>
      </c>
      <c r="AY84" s="21">
        <v>0.154</v>
      </c>
      <c r="AZ84">
        <v>145</v>
      </c>
      <c r="BA84" s="21">
        <v>0.17199999999999999</v>
      </c>
    </row>
    <row r="85" spans="1:53" x14ac:dyDescent="0.25">
      <c r="A85" s="1" t="s">
        <v>169</v>
      </c>
      <c r="B85">
        <v>84</v>
      </c>
      <c r="C85">
        <v>7.4</v>
      </c>
      <c r="D85">
        <v>50</v>
      </c>
      <c r="E85">
        <v>12.3</v>
      </c>
      <c r="F85">
        <v>76</v>
      </c>
      <c r="G85">
        <v>6</v>
      </c>
      <c r="H85">
        <v>92</v>
      </c>
      <c r="I85">
        <v>0.9</v>
      </c>
      <c r="J85">
        <v>230</v>
      </c>
      <c r="K85">
        <v>-0.7</v>
      </c>
      <c r="L85">
        <v>99</v>
      </c>
      <c r="M85">
        <v>9.5</v>
      </c>
      <c r="N85">
        <v>213</v>
      </c>
      <c r="O85">
        <v>1.0609999999999999</v>
      </c>
      <c r="P85">
        <v>40</v>
      </c>
      <c r="Q85">
        <v>0.91900000000000004</v>
      </c>
      <c r="R85">
        <v>326</v>
      </c>
      <c r="S85">
        <v>0.25</v>
      </c>
      <c r="T85">
        <v>208</v>
      </c>
      <c r="U85">
        <v>0.94899999999999995</v>
      </c>
      <c r="V85">
        <v>94</v>
      </c>
      <c r="W85">
        <v>0.94199999999999995</v>
      </c>
      <c r="X85">
        <v>193</v>
      </c>
      <c r="Y85">
        <v>1.0289999999999999</v>
      </c>
      <c r="Z85">
        <v>91</v>
      </c>
      <c r="AA85">
        <v>1.002</v>
      </c>
      <c r="AB85">
        <v>179</v>
      </c>
      <c r="AC85" s="21">
        <v>0.50700000000000001</v>
      </c>
      <c r="AD85" s="21">
        <v>0.48799999999999999</v>
      </c>
      <c r="AE85">
        <v>216</v>
      </c>
      <c r="AF85">
        <v>71</v>
      </c>
      <c r="AG85" s="21">
        <v>0.48499999999999999</v>
      </c>
      <c r="AH85">
        <v>55</v>
      </c>
      <c r="AI85">
        <v>22.419</v>
      </c>
      <c r="AJ85">
        <v>285</v>
      </c>
      <c r="AK85" s="21">
        <v>0.26800000000000002</v>
      </c>
      <c r="AL85">
        <v>340</v>
      </c>
      <c r="AM85" s="21">
        <v>0.247</v>
      </c>
      <c r="AN85">
        <v>284</v>
      </c>
      <c r="AO85" s="21">
        <v>0.317</v>
      </c>
      <c r="AP85">
        <v>76</v>
      </c>
      <c r="AQ85" s="21">
        <v>0.32</v>
      </c>
      <c r="AR85">
        <v>189</v>
      </c>
      <c r="AS85" s="21">
        <v>0.27600000000000002</v>
      </c>
      <c r="AT85">
        <v>246</v>
      </c>
      <c r="AU85" s="21">
        <v>0.71099999999999997</v>
      </c>
      <c r="AV85">
        <v>72</v>
      </c>
      <c r="AW85">
        <v>72.3</v>
      </c>
      <c r="AX85">
        <v>195</v>
      </c>
      <c r="AY85" s="21">
        <v>0.17</v>
      </c>
      <c r="AZ85">
        <v>73</v>
      </c>
      <c r="BA85" s="21">
        <v>0.186</v>
      </c>
    </row>
    <row r="86" spans="1:53" x14ac:dyDescent="0.25">
      <c r="A86" s="1" t="s">
        <v>533</v>
      </c>
      <c r="B86">
        <v>85</v>
      </c>
      <c r="C86">
        <v>7.2</v>
      </c>
      <c r="D86">
        <v>71</v>
      </c>
      <c r="E86">
        <v>10.3</v>
      </c>
      <c r="F86">
        <v>100</v>
      </c>
      <c r="G86">
        <v>1.7</v>
      </c>
      <c r="H86">
        <v>83</v>
      </c>
      <c r="I86">
        <v>1.5</v>
      </c>
      <c r="J86">
        <v>69</v>
      </c>
      <c r="K86">
        <v>1.7</v>
      </c>
      <c r="L86">
        <v>13</v>
      </c>
      <c r="M86">
        <v>8</v>
      </c>
      <c r="N86">
        <v>243</v>
      </c>
      <c r="O86">
        <v>1.0229999999999999</v>
      </c>
      <c r="P86">
        <v>10</v>
      </c>
      <c r="Q86">
        <v>0.79400000000000004</v>
      </c>
      <c r="R86">
        <v>158</v>
      </c>
      <c r="S86">
        <v>0.5</v>
      </c>
      <c r="T86">
        <v>106</v>
      </c>
      <c r="U86">
        <v>0.96899999999999997</v>
      </c>
      <c r="V86">
        <v>57</v>
      </c>
      <c r="W86">
        <v>0.92900000000000005</v>
      </c>
      <c r="X86">
        <v>76</v>
      </c>
      <c r="Y86">
        <v>1.085</v>
      </c>
      <c r="Z86">
        <v>29</v>
      </c>
      <c r="AA86">
        <v>0.96699999999999997</v>
      </c>
      <c r="AB86">
        <v>130</v>
      </c>
      <c r="AC86" s="21">
        <v>0.51600000000000001</v>
      </c>
      <c r="AD86" s="21">
        <v>0.48499999999999999</v>
      </c>
      <c r="AE86">
        <v>232</v>
      </c>
      <c r="AF86">
        <v>21</v>
      </c>
      <c r="AG86" s="21">
        <v>0.46800000000000003</v>
      </c>
      <c r="AH86">
        <v>32</v>
      </c>
      <c r="AI86">
        <v>23.393999999999998</v>
      </c>
      <c r="AJ86">
        <v>311</v>
      </c>
      <c r="AK86" s="21">
        <v>0.27700000000000002</v>
      </c>
      <c r="AL86">
        <v>211</v>
      </c>
      <c r="AM86" s="21">
        <v>0.30399999999999999</v>
      </c>
      <c r="AN86">
        <v>76</v>
      </c>
      <c r="AO86" s="21">
        <v>0.35699999999999998</v>
      </c>
      <c r="AP86">
        <v>16</v>
      </c>
      <c r="AQ86" s="21">
        <v>0.30299999999999999</v>
      </c>
      <c r="AR86">
        <v>94</v>
      </c>
      <c r="AS86" s="21">
        <v>0.309</v>
      </c>
      <c r="AT86">
        <v>103</v>
      </c>
      <c r="AU86" s="21">
        <v>0.73799999999999999</v>
      </c>
      <c r="AV86">
        <v>363</v>
      </c>
      <c r="AW86">
        <v>62.3</v>
      </c>
      <c r="AX86">
        <v>171</v>
      </c>
      <c r="AY86" s="21">
        <v>0.16600000000000001</v>
      </c>
      <c r="AZ86">
        <v>61</v>
      </c>
      <c r="BA86" s="21">
        <v>0.19</v>
      </c>
    </row>
    <row r="87" spans="1:53" x14ac:dyDescent="0.25">
      <c r="A87" s="1" t="s">
        <v>235</v>
      </c>
      <c r="B87">
        <v>86</v>
      </c>
      <c r="C87">
        <v>7.1</v>
      </c>
      <c r="D87">
        <v>166</v>
      </c>
      <c r="E87">
        <v>0.2</v>
      </c>
      <c r="F87">
        <v>71</v>
      </c>
      <c r="G87">
        <v>6.3</v>
      </c>
      <c r="H87">
        <v>175</v>
      </c>
      <c r="I87">
        <v>-2.2999999999999998</v>
      </c>
      <c r="J87">
        <v>177</v>
      </c>
      <c r="K87">
        <v>0</v>
      </c>
      <c r="L87">
        <v>148</v>
      </c>
      <c r="M87">
        <v>10</v>
      </c>
      <c r="N87">
        <v>126</v>
      </c>
      <c r="O87">
        <v>1.2250000000000001</v>
      </c>
      <c r="P87">
        <v>96</v>
      </c>
      <c r="Q87">
        <v>0.998</v>
      </c>
      <c r="R87">
        <v>130</v>
      </c>
      <c r="S87">
        <v>0.55600000000000005</v>
      </c>
      <c r="T87">
        <v>105</v>
      </c>
      <c r="U87">
        <v>0.97</v>
      </c>
      <c r="V87">
        <v>50</v>
      </c>
      <c r="W87">
        <v>0.92800000000000005</v>
      </c>
      <c r="X87">
        <v>201</v>
      </c>
      <c r="Y87">
        <v>1.0269999999999999</v>
      </c>
      <c r="Z87">
        <v>64</v>
      </c>
      <c r="AA87">
        <v>0.98599999999999999</v>
      </c>
      <c r="AB87">
        <v>197</v>
      </c>
      <c r="AC87" s="21">
        <v>0.504</v>
      </c>
      <c r="AD87" s="21">
        <v>0.499</v>
      </c>
      <c r="AE87">
        <v>157</v>
      </c>
      <c r="AF87">
        <v>106</v>
      </c>
      <c r="AG87" s="21">
        <v>0.49399999999999999</v>
      </c>
      <c r="AH87">
        <v>339</v>
      </c>
      <c r="AI87">
        <v>15.678000000000001</v>
      </c>
      <c r="AJ87">
        <v>64</v>
      </c>
      <c r="AK87" s="21">
        <v>0.21299999999999999</v>
      </c>
      <c r="AL87">
        <v>221</v>
      </c>
      <c r="AM87" s="21">
        <v>0.3</v>
      </c>
      <c r="AN87">
        <v>273</v>
      </c>
      <c r="AO87" s="21">
        <v>0.318</v>
      </c>
      <c r="AP87">
        <v>185</v>
      </c>
      <c r="AQ87" s="21">
        <v>0.33800000000000002</v>
      </c>
      <c r="AR87">
        <v>114</v>
      </c>
      <c r="AS87" s="21">
        <v>0.29899999999999999</v>
      </c>
      <c r="AT87">
        <v>153</v>
      </c>
      <c r="AU87" s="21">
        <v>0.72899999999999998</v>
      </c>
      <c r="AV87">
        <v>203</v>
      </c>
      <c r="AW87">
        <v>69.8</v>
      </c>
      <c r="AX87">
        <v>180</v>
      </c>
      <c r="AY87" s="21">
        <v>0.16800000000000001</v>
      </c>
      <c r="AZ87">
        <v>55</v>
      </c>
      <c r="BA87" s="21">
        <v>0.192</v>
      </c>
    </row>
    <row r="88" spans="1:53" x14ac:dyDescent="0.25">
      <c r="A88" s="1" t="s">
        <v>22</v>
      </c>
      <c r="B88">
        <v>87</v>
      </c>
      <c r="C88">
        <v>6.8</v>
      </c>
      <c r="D88">
        <v>85</v>
      </c>
      <c r="E88">
        <v>8.3000000000000007</v>
      </c>
      <c r="F88">
        <v>68</v>
      </c>
      <c r="G88">
        <v>6.6</v>
      </c>
      <c r="H88">
        <v>54</v>
      </c>
      <c r="I88">
        <v>3.5</v>
      </c>
      <c r="J88">
        <v>293</v>
      </c>
      <c r="K88">
        <v>-1.7</v>
      </c>
      <c r="L88">
        <v>117</v>
      </c>
      <c r="M88">
        <v>9.6999999999999993</v>
      </c>
      <c r="N88">
        <v>238</v>
      </c>
      <c r="O88">
        <v>1.0269999999999999</v>
      </c>
      <c r="P88">
        <v>328</v>
      </c>
      <c r="Q88">
        <v>1.42</v>
      </c>
      <c r="R88">
        <v>150</v>
      </c>
      <c r="S88">
        <v>0.53900000000000003</v>
      </c>
      <c r="T88">
        <v>170</v>
      </c>
      <c r="U88">
        <v>0.95799999999999996</v>
      </c>
      <c r="V88">
        <v>190</v>
      </c>
      <c r="W88">
        <v>0.95799999999999996</v>
      </c>
      <c r="X88">
        <v>135</v>
      </c>
      <c r="Y88">
        <v>1.0549999999999999</v>
      </c>
      <c r="Z88">
        <v>219</v>
      </c>
      <c r="AA88">
        <v>1.0529999999999999</v>
      </c>
      <c r="AB88">
        <v>125</v>
      </c>
      <c r="AC88" s="21">
        <v>0.51700000000000002</v>
      </c>
      <c r="AD88" s="21">
        <v>0.504</v>
      </c>
      <c r="AE88">
        <v>128</v>
      </c>
      <c r="AF88">
        <v>211</v>
      </c>
      <c r="AG88" s="21">
        <v>0.51400000000000001</v>
      </c>
      <c r="AH88">
        <v>187</v>
      </c>
      <c r="AI88">
        <v>19.542000000000002</v>
      </c>
      <c r="AJ88">
        <v>124</v>
      </c>
      <c r="AK88" s="21">
        <v>0.22800000000000001</v>
      </c>
      <c r="AL88">
        <v>186</v>
      </c>
      <c r="AM88" s="21">
        <v>0.314</v>
      </c>
      <c r="AN88">
        <v>86</v>
      </c>
      <c r="AO88" s="21">
        <v>0.35499999999999998</v>
      </c>
      <c r="AP88">
        <v>80</v>
      </c>
      <c r="AQ88" s="21">
        <v>0.32100000000000001</v>
      </c>
      <c r="AR88">
        <v>206</v>
      </c>
      <c r="AS88" s="21">
        <v>0.27100000000000002</v>
      </c>
      <c r="AT88">
        <v>24</v>
      </c>
      <c r="AU88" s="21">
        <v>0.76600000000000001</v>
      </c>
      <c r="AV88">
        <v>246</v>
      </c>
      <c r="AW88">
        <v>68.900000000000006</v>
      </c>
      <c r="AX88">
        <v>134</v>
      </c>
      <c r="AY88" s="21">
        <v>0.161</v>
      </c>
      <c r="AZ88">
        <v>319</v>
      </c>
      <c r="BA88" s="21">
        <v>0.14599999999999999</v>
      </c>
    </row>
    <row r="89" spans="1:53" x14ac:dyDescent="0.25">
      <c r="A89" s="1" t="s">
        <v>101</v>
      </c>
      <c r="B89">
        <v>88</v>
      </c>
      <c r="C89">
        <v>6.7</v>
      </c>
      <c r="D89">
        <v>139</v>
      </c>
      <c r="E89">
        <v>2.7</v>
      </c>
      <c r="F89">
        <v>62</v>
      </c>
      <c r="G89">
        <v>8.3000000000000007</v>
      </c>
      <c r="H89">
        <v>160</v>
      </c>
      <c r="I89">
        <v>-1.6</v>
      </c>
      <c r="J89">
        <v>119</v>
      </c>
      <c r="K89">
        <v>0.9</v>
      </c>
      <c r="L89">
        <v>33</v>
      </c>
      <c r="M89">
        <v>8.5</v>
      </c>
      <c r="N89">
        <v>46</v>
      </c>
      <c r="O89">
        <v>1.4079999999999999</v>
      </c>
      <c r="P89">
        <v>322</v>
      </c>
      <c r="Q89">
        <v>1.407</v>
      </c>
      <c r="R89">
        <v>50</v>
      </c>
      <c r="S89">
        <v>0.66700000000000004</v>
      </c>
      <c r="T89">
        <v>134</v>
      </c>
      <c r="U89">
        <v>0.96499999999999997</v>
      </c>
      <c r="V89">
        <v>224</v>
      </c>
      <c r="W89">
        <v>0.96399999999999997</v>
      </c>
      <c r="X89">
        <v>231</v>
      </c>
      <c r="Y89">
        <v>1.014</v>
      </c>
      <c r="Z89">
        <v>181</v>
      </c>
      <c r="AA89">
        <v>1.038</v>
      </c>
      <c r="AB89">
        <v>231</v>
      </c>
      <c r="AC89" s="21">
        <v>0.499</v>
      </c>
      <c r="AD89" s="21">
        <v>0.48399999999999999</v>
      </c>
      <c r="AE89">
        <v>241</v>
      </c>
      <c r="AF89">
        <v>139</v>
      </c>
      <c r="AG89" s="21">
        <v>0.501</v>
      </c>
      <c r="AH89">
        <v>286</v>
      </c>
      <c r="AI89">
        <v>17.545000000000002</v>
      </c>
      <c r="AJ89">
        <v>193</v>
      </c>
      <c r="AK89" s="21">
        <v>0.245</v>
      </c>
      <c r="AL89">
        <v>253</v>
      </c>
      <c r="AM89" s="21">
        <v>0.28799999999999998</v>
      </c>
      <c r="AN89">
        <v>258</v>
      </c>
      <c r="AO89" s="21">
        <v>0.32200000000000001</v>
      </c>
      <c r="AP89">
        <v>228</v>
      </c>
      <c r="AQ89" s="21">
        <v>0.34499999999999997</v>
      </c>
      <c r="AR89">
        <v>207</v>
      </c>
      <c r="AS89" s="21">
        <v>0.27100000000000002</v>
      </c>
      <c r="AT89">
        <v>154</v>
      </c>
      <c r="AU89" s="21">
        <v>0.72899999999999998</v>
      </c>
      <c r="AV89">
        <v>325</v>
      </c>
      <c r="AW89">
        <v>67.099999999999994</v>
      </c>
      <c r="AX89">
        <v>133</v>
      </c>
      <c r="AY89" s="21">
        <v>0.161</v>
      </c>
      <c r="AZ89">
        <v>249</v>
      </c>
      <c r="BA89" s="21">
        <v>0.158</v>
      </c>
    </row>
    <row r="90" spans="1:53" x14ac:dyDescent="0.25">
      <c r="A90" s="1" t="s">
        <v>171</v>
      </c>
      <c r="B90">
        <v>89</v>
      </c>
      <c r="C90">
        <v>6.6</v>
      </c>
      <c r="D90">
        <v>137</v>
      </c>
      <c r="E90">
        <v>2.8</v>
      </c>
      <c r="F90">
        <v>209</v>
      </c>
      <c r="G90">
        <v>-3.1</v>
      </c>
      <c r="H90">
        <v>221</v>
      </c>
      <c r="I90">
        <v>-3.5</v>
      </c>
      <c r="J90">
        <v>109</v>
      </c>
      <c r="K90">
        <v>1</v>
      </c>
      <c r="L90">
        <v>167</v>
      </c>
      <c r="M90">
        <v>10.199999999999999</v>
      </c>
      <c r="N90">
        <v>117</v>
      </c>
      <c r="O90">
        <v>1.236</v>
      </c>
      <c r="P90">
        <v>55</v>
      </c>
      <c r="Q90">
        <v>0.95199999999999996</v>
      </c>
      <c r="R90">
        <v>93</v>
      </c>
      <c r="S90">
        <v>0.6</v>
      </c>
      <c r="T90">
        <v>48</v>
      </c>
      <c r="U90">
        <v>0.98699999999999999</v>
      </c>
      <c r="V90">
        <v>239</v>
      </c>
      <c r="W90">
        <v>0.96599999999999997</v>
      </c>
      <c r="X90">
        <v>2</v>
      </c>
      <c r="Y90">
        <v>1.1839999999999999</v>
      </c>
      <c r="Z90">
        <v>148</v>
      </c>
      <c r="AA90">
        <v>1.022</v>
      </c>
      <c r="AB90">
        <v>12</v>
      </c>
      <c r="AC90" s="21">
        <v>0.56399999999999995</v>
      </c>
      <c r="AD90" s="21">
        <v>0.55700000000000005</v>
      </c>
      <c r="AE90">
        <v>9</v>
      </c>
      <c r="AF90">
        <v>94</v>
      </c>
      <c r="AG90" s="21">
        <v>0.49099999999999999</v>
      </c>
      <c r="AH90">
        <v>20</v>
      </c>
      <c r="AI90">
        <v>24.035</v>
      </c>
      <c r="AJ90">
        <v>282</v>
      </c>
      <c r="AK90" s="21">
        <v>0.26600000000000001</v>
      </c>
      <c r="AL90">
        <v>215</v>
      </c>
      <c r="AM90" s="21">
        <v>0.30299999999999999</v>
      </c>
      <c r="AN90">
        <v>51</v>
      </c>
      <c r="AO90" s="21">
        <v>0.36599999999999999</v>
      </c>
      <c r="AP90">
        <v>121</v>
      </c>
      <c r="AQ90" s="21">
        <v>0.32900000000000001</v>
      </c>
      <c r="AR90">
        <v>51</v>
      </c>
      <c r="AS90" s="21">
        <v>0.32600000000000001</v>
      </c>
      <c r="AT90">
        <v>164</v>
      </c>
      <c r="AU90" s="21">
        <v>0.72599999999999998</v>
      </c>
      <c r="AV90">
        <v>233</v>
      </c>
      <c r="AW90">
        <v>69</v>
      </c>
      <c r="AX90">
        <v>50</v>
      </c>
      <c r="AY90" s="21">
        <v>0.15</v>
      </c>
      <c r="AZ90">
        <v>225</v>
      </c>
      <c r="BA90" s="21">
        <v>0.161</v>
      </c>
    </row>
    <row r="91" spans="1:53" x14ac:dyDescent="0.25">
      <c r="A91" s="1" t="s">
        <v>121</v>
      </c>
      <c r="B91">
        <v>90</v>
      </c>
      <c r="C91">
        <v>6.5</v>
      </c>
      <c r="D91">
        <v>168</v>
      </c>
      <c r="E91">
        <v>0.1</v>
      </c>
      <c r="F91">
        <v>65</v>
      </c>
      <c r="G91">
        <v>7.6</v>
      </c>
      <c r="H91">
        <v>78</v>
      </c>
      <c r="I91">
        <v>2</v>
      </c>
      <c r="J91">
        <v>339</v>
      </c>
      <c r="K91">
        <v>-2.7</v>
      </c>
      <c r="L91">
        <v>261</v>
      </c>
      <c r="M91">
        <v>11</v>
      </c>
      <c r="N91">
        <v>252</v>
      </c>
      <c r="O91">
        <v>1.0149999999999999</v>
      </c>
      <c r="P91">
        <v>308</v>
      </c>
      <c r="Q91">
        <v>1.3560000000000001</v>
      </c>
      <c r="R91">
        <v>338</v>
      </c>
      <c r="S91">
        <v>0.2</v>
      </c>
      <c r="T91">
        <v>187</v>
      </c>
      <c r="U91">
        <v>0.95399999999999996</v>
      </c>
      <c r="V91">
        <v>324</v>
      </c>
      <c r="W91">
        <v>0.98499999999999999</v>
      </c>
      <c r="X91">
        <v>173</v>
      </c>
      <c r="Y91">
        <v>1.036</v>
      </c>
      <c r="Z91">
        <v>221</v>
      </c>
      <c r="AA91">
        <v>1.0529999999999999</v>
      </c>
      <c r="AB91">
        <v>110</v>
      </c>
      <c r="AC91" s="21">
        <v>0.52100000000000002</v>
      </c>
      <c r="AD91" s="21">
        <v>0.49299999999999999</v>
      </c>
      <c r="AE91">
        <v>190</v>
      </c>
      <c r="AF91">
        <v>111</v>
      </c>
      <c r="AG91" s="21">
        <v>0.495</v>
      </c>
      <c r="AH91">
        <v>304</v>
      </c>
      <c r="AI91">
        <v>16.882000000000001</v>
      </c>
      <c r="AJ91">
        <v>218</v>
      </c>
      <c r="AK91" s="21">
        <v>0.251</v>
      </c>
      <c r="AL91">
        <v>25</v>
      </c>
      <c r="AM91" s="21">
        <v>0.39</v>
      </c>
      <c r="AN91">
        <v>78</v>
      </c>
      <c r="AO91" s="21">
        <v>0.35599999999999998</v>
      </c>
      <c r="AP91">
        <v>167</v>
      </c>
      <c r="AQ91" s="21">
        <v>0.33500000000000002</v>
      </c>
      <c r="AR91">
        <v>96</v>
      </c>
      <c r="AS91" s="21">
        <v>0.308</v>
      </c>
      <c r="AT91">
        <v>78</v>
      </c>
      <c r="AU91" s="21">
        <v>0.745</v>
      </c>
      <c r="AV91">
        <v>245</v>
      </c>
      <c r="AW91">
        <v>68.900000000000006</v>
      </c>
      <c r="AX91">
        <v>296</v>
      </c>
      <c r="AY91" s="21">
        <v>0.185</v>
      </c>
      <c r="AZ91">
        <v>346</v>
      </c>
      <c r="BA91" s="21">
        <v>0.13400000000000001</v>
      </c>
    </row>
    <row r="92" spans="1:53" x14ac:dyDescent="0.25">
      <c r="A92" s="1" t="s">
        <v>534</v>
      </c>
      <c r="B92">
        <v>91</v>
      </c>
      <c r="C92">
        <v>6.5</v>
      </c>
      <c r="D92">
        <v>81</v>
      </c>
      <c r="E92">
        <v>9.1</v>
      </c>
      <c r="F92">
        <v>152</v>
      </c>
      <c r="G92">
        <v>-1.1000000000000001</v>
      </c>
      <c r="H92">
        <v>123</v>
      </c>
      <c r="I92">
        <v>-0.6</v>
      </c>
      <c r="J92">
        <v>132</v>
      </c>
      <c r="K92">
        <v>0.8</v>
      </c>
      <c r="L92">
        <v>103</v>
      </c>
      <c r="M92">
        <v>9.6</v>
      </c>
      <c r="N92">
        <v>228</v>
      </c>
      <c r="O92">
        <v>1.0349999999999999</v>
      </c>
      <c r="P92">
        <v>9</v>
      </c>
      <c r="Q92">
        <v>0.79400000000000004</v>
      </c>
      <c r="R92">
        <v>41</v>
      </c>
      <c r="S92">
        <v>0.71399999999999997</v>
      </c>
      <c r="T92">
        <v>228</v>
      </c>
      <c r="U92">
        <v>0.94699999999999995</v>
      </c>
      <c r="V92">
        <v>21</v>
      </c>
      <c r="W92">
        <v>0.91600000000000004</v>
      </c>
      <c r="X92">
        <v>137</v>
      </c>
      <c r="Y92">
        <v>1.054</v>
      </c>
      <c r="Z92">
        <v>12</v>
      </c>
      <c r="AA92">
        <v>0.93500000000000005</v>
      </c>
      <c r="AB92">
        <v>147</v>
      </c>
      <c r="AC92" s="21">
        <v>0.51300000000000001</v>
      </c>
      <c r="AD92" s="21">
        <v>0.501</v>
      </c>
      <c r="AE92">
        <v>148</v>
      </c>
      <c r="AF92">
        <v>26</v>
      </c>
      <c r="AG92" s="21">
        <v>0.47</v>
      </c>
      <c r="AH92">
        <v>7</v>
      </c>
      <c r="AI92">
        <v>25.263999999999999</v>
      </c>
      <c r="AJ92">
        <v>127</v>
      </c>
      <c r="AK92" s="21">
        <v>0.22900000000000001</v>
      </c>
      <c r="AL92">
        <v>349</v>
      </c>
      <c r="AM92" s="21">
        <v>0.23599999999999999</v>
      </c>
      <c r="AN92">
        <v>285</v>
      </c>
      <c r="AO92" s="21">
        <v>0.316</v>
      </c>
      <c r="AP92">
        <v>78</v>
      </c>
      <c r="AQ92" s="21">
        <v>0.32100000000000001</v>
      </c>
      <c r="AR92">
        <v>105</v>
      </c>
      <c r="AS92" s="21">
        <v>0.30499999999999999</v>
      </c>
      <c r="AT92">
        <v>112</v>
      </c>
      <c r="AU92" s="21">
        <v>0.73599999999999999</v>
      </c>
      <c r="AV92">
        <v>16</v>
      </c>
      <c r="AW92">
        <v>74.5</v>
      </c>
      <c r="AX92">
        <v>275</v>
      </c>
      <c r="AY92" s="21">
        <v>0.18</v>
      </c>
      <c r="AZ92">
        <v>28</v>
      </c>
      <c r="BA92" s="21">
        <v>0.20100000000000001</v>
      </c>
    </row>
    <row r="93" spans="1:53" x14ac:dyDescent="0.25">
      <c r="A93" s="1" t="s">
        <v>91</v>
      </c>
      <c r="B93">
        <v>92</v>
      </c>
      <c r="C93">
        <v>6.3</v>
      </c>
      <c r="D93">
        <v>117</v>
      </c>
      <c r="E93">
        <v>4.5</v>
      </c>
      <c r="F93">
        <v>110</v>
      </c>
      <c r="G93">
        <v>0.8</v>
      </c>
      <c r="H93">
        <v>145</v>
      </c>
      <c r="I93">
        <v>-1</v>
      </c>
      <c r="J93">
        <v>42</v>
      </c>
      <c r="K93">
        <v>2.2000000000000002</v>
      </c>
      <c r="L93">
        <v>241</v>
      </c>
      <c r="M93">
        <v>10.8</v>
      </c>
      <c r="N93">
        <v>137</v>
      </c>
      <c r="O93">
        <v>1.2110000000000001</v>
      </c>
      <c r="P93">
        <v>200</v>
      </c>
      <c r="Q93">
        <v>1.159</v>
      </c>
      <c r="R93">
        <v>3</v>
      </c>
      <c r="S93">
        <v>0.88900000000000001</v>
      </c>
      <c r="T93">
        <v>296</v>
      </c>
      <c r="U93">
        <v>0.93</v>
      </c>
      <c r="V93">
        <v>301</v>
      </c>
      <c r="W93">
        <v>0.97699999999999998</v>
      </c>
      <c r="X93">
        <v>42</v>
      </c>
      <c r="Y93">
        <v>1.1100000000000001</v>
      </c>
      <c r="Z93">
        <v>135</v>
      </c>
      <c r="AA93">
        <v>1.0189999999999999</v>
      </c>
      <c r="AB93">
        <v>8</v>
      </c>
      <c r="AC93" s="21">
        <v>0.56799999999999995</v>
      </c>
      <c r="AD93" s="21">
        <v>0.56000000000000005</v>
      </c>
      <c r="AE93">
        <v>8</v>
      </c>
      <c r="AF93">
        <v>52</v>
      </c>
      <c r="AG93" s="21">
        <v>0.47899999999999998</v>
      </c>
      <c r="AH93">
        <v>175</v>
      </c>
      <c r="AI93">
        <v>19.725000000000001</v>
      </c>
      <c r="AJ93">
        <v>269</v>
      </c>
      <c r="AK93" s="21">
        <v>0.26300000000000001</v>
      </c>
      <c r="AL93">
        <v>65</v>
      </c>
      <c r="AM93" s="21">
        <v>0.36399999999999999</v>
      </c>
      <c r="AN93">
        <v>1</v>
      </c>
      <c r="AO93" s="21">
        <v>0.4</v>
      </c>
      <c r="AP93">
        <v>97</v>
      </c>
      <c r="AQ93" s="21">
        <v>0.32400000000000001</v>
      </c>
      <c r="AR93">
        <v>280</v>
      </c>
      <c r="AS93" s="21">
        <v>0.24199999999999999</v>
      </c>
      <c r="AT93">
        <v>140</v>
      </c>
      <c r="AU93" s="21">
        <v>0.73199999999999998</v>
      </c>
      <c r="AV93">
        <v>272</v>
      </c>
      <c r="AW93">
        <v>68.400000000000006</v>
      </c>
      <c r="AX93">
        <v>196</v>
      </c>
      <c r="AY93" s="21">
        <v>0.17</v>
      </c>
      <c r="AZ93">
        <v>282</v>
      </c>
      <c r="BA93" s="21">
        <v>0.153</v>
      </c>
    </row>
    <row r="94" spans="1:53" x14ac:dyDescent="0.25">
      <c r="A94" s="1" t="s">
        <v>535</v>
      </c>
      <c r="B94">
        <v>93</v>
      </c>
      <c r="C94">
        <v>6.2</v>
      </c>
      <c r="D94">
        <v>70</v>
      </c>
      <c r="E94">
        <v>10.4</v>
      </c>
      <c r="F94">
        <v>81</v>
      </c>
      <c r="G94">
        <v>5.9</v>
      </c>
      <c r="H94">
        <v>111</v>
      </c>
      <c r="I94">
        <v>0.2</v>
      </c>
      <c r="J94">
        <v>175</v>
      </c>
      <c r="K94">
        <v>0.1</v>
      </c>
      <c r="L94">
        <v>318</v>
      </c>
      <c r="M94">
        <v>11.6</v>
      </c>
      <c r="N94">
        <v>141</v>
      </c>
      <c r="O94">
        <v>1.2030000000000001</v>
      </c>
      <c r="P94">
        <v>282</v>
      </c>
      <c r="Q94">
        <v>1.28</v>
      </c>
      <c r="R94">
        <v>158</v>
      </c>
      <c r="S94">
        <v>0.5</v>
      </c>
      <c r="T94">
        <v>167</v>
      </c>
      <c r="U94">
        <v>0.95799999999999996</v>
      </c>
      <c r="V94">
        <v>282</v>
      </c>
      <c r="W94">
        <v>0.97299999999999998</v>
      </c>
      <c r="X94">
        <v>210</v>
      </c>
      <c r="Y94">
        <v>1.0229999999999999</v>
      </c>
      <c r="Z94">
        <v>105</v>
      </c>
      <c r="AA94">
        <v>1.01</v>
      </c>
      <c r="AB94">
        <v>201</v>
      </c>
      <c r="AC94" s="21">
        <v>0.504</v>
      </c>
      <c r="AD94" s="21">
        <v>0.45900000000000002</v>
      </c>
      <c r="AE94">
        <v>328</v>
      </c>
      <c r="AF94">
        <v>86</v>
      </c>
      <c r="AG94" s="21">
        <v>0.48799999999999999</v>
      </c>
      <c r="AH94">
        <v>268</v>
      </c>
      <c r="AI94">
        <v>17.916</v>
      </c>
      <c r="AJ94">
        <v>74</v>
      </c>
      <c r="AK94" s="21">
        <v>0.216</v>
      </c>
      <c r="AL94">
        <v>210</v>
      </c>
      <c r="AM94" s="21">
        <v>0.30399999999999999</v>
      </c>
      <c r="AN94">
        <v>158</v>
      </c>
      <c r="AO94" s="21">
        <v>0.34100000000000003</v>
      </c>
      <c r="AP94">
        <v>233</v>
      </c>
      <c r="AQ94" s="21">
        <v>0.34599999999999997</v>
      </c>
      <c r="AR94">
        <v>165</v>
      </c>
      <c r="AS94" s="21">
        <v>0.28199999999999997</v>
      </c>
      <c r="AT94">
        <v>125</v>
      </c>
      <c r="AU94" s="21">
        <v>0.73399999999999999</v>
      </c>
      <c r="AV94">
        <v>102</v>
      </c>
      <c r="AW94">
        <v>71.7</v>
      </c>
      <c r="AX94">
        <v>199</v>
      </c>
      <c r="AY94" s="21">
        <v>0.17</v>
      </c>
      <c r="AZ94">
        <v>286</v>
      </c>
      <c r="BA94" s="21">
        <v>0.153</v>
      </c>
    </row>
    <row r="95" spans="1:53" x14ac:dyDescent="0.25">
      <c r="A95" s="1" t="s">
        <v>158</v>
      </c>
      <c r="B95">
        <v>94</v>
      </c>
      <c r="C95">
        <v>5.9</v>
      </c>
      <c r="D95">
        <v>224</v>
      </c>
      <c r="E95">
        <v>-2</v>
      </c>
      <c r="F95">
        <v>136</v>
      </c>
      <c r="G95">
        <v>-0.5</v>
      </c>
      <c r="H95">
        <v>89</v>
      </c>
      <c r="I95">
        <v>1.2</v>
      </c>
      <c r="J95">
        <v>239</v>
      </c>
      <c r="K95">
        <v>-0.8</v>
      </c>
      <c r="L95">
        <v>112</v>
      </c>
      <c r="M95">
        <v>9.6999999999999993</v>
      </c>
      <c r="N95">
        <v>90</v>
      </c>
      <c r="O95">
        <v>1.2889999999999999</v>
      </c>
      <c r="P95">
        <v>91</v>
      </c>
      <c r="Q95">
        <v>0.995</v>
      </c>
      <c r="R95">
        <v>158</v>
      </c>
      <c r="S95">
        <v>0.5</v>
      </c>
      <c r="T95">
        <v>9</v>
      </c>
      <c r="U95">
        <v>1.0169999999999999</v>
      </c>
      <c r="V95">
        <v>283</v>
      </c>
      <c r="W95">
        <v>0.97299999999999998</v>
      </c>
      <c r="X95">
        <v>84</v>
      </c>
      <c r="Y95">
        <v>1.081</v>
      </c>
      <c r="Z95">
        <v>35</v>
      </c>
      <c r="AA95">
        <v>0.97099999999999997</v>
      </c>
      <c r="AB95">
        <v>262</v>
      </c>
      <c r="AC95" s="21">
        <v>0.49299999999999999</v>
      </c>
      <c r="AD95" s="21">
        <v>0.48499999999999999</v>
      </c>
      <c r="AE95">
        <v>232</v>
      </c>
      <c r="AF95">
        <v>8</v>
      </c>
      <c r="AG95" s="21">
        <v>0.45700000000000002</v>
      </c>
      <c r="AH95">
        <v>73</v>
      </c>
      <c r="AI95">
        <v>21.888000000000002</v>
      </c>
      <c r="AJ95">
        <v>300</v>
      </c>
      <c r="AK95" s="21">
        <v>0.27200000000000002</v>
      </c>
      <c r="AL95">
        <v>97</v>
      </c>
      <c r="AM95" s="21">
        <v>0.34399999999999997</v>
      </c>
      <c r="AN95">
        <v>274</v>
      </c>
      <c r="AO95" s="21">
        <v>0.318</v>
      </c>
      <c r="AP95">
        <v>13</v>
      </c>
      <c r="AQ95" s="21">
        <v>0.30099999999999999</v>
      </c>
      <c r="AR95">
        <v>41</v>
      </c>
      <c r="AS95" s="21">
        <v>0.32900000000000001</v>
      </c>
      <c r="AT95">
        <v>206</v>
      </c>
      <c r="AU95" s="21">
        <v>0.71899999999999997</v>
      </c>
      <c r="AV95">
        <v>63</v>
      </c>
      <c r="AW95">
        <v>72.5</v>
      </c>
      <c r="AX95">
        <v>36</v>
      </c>
      <c r="AY95" s="21">
        <v>0.14599999999999999</v>
      </c>
      <c r="AZ95">
        <v>182</v>
      </c>
      <c r="BA95" s="21">
        <v>0.16700000000000001</v>
      </c>
    </row>
    <row r="96" spans="1:53" x14ac:dyDescent="0.25">
      <c r="A96" s="1" t="s">
        <v>164</v>
      </c>
      <c r="B96">
        <v>95</v>
      </c>
      <c r="C96">
        <v>5.9</v>
      </c>
      <c r="D96">
        <v>149</v>
      </c>
      <c r="E96">
        <v>1.4</v>
      </c>
      <c r="F96">
        <v>99</v>
      </c>
      <c r="G96">
        <v>1.8</v>
      </c>
      <c r="H96">
        <v>133</v>
      </c>
      <c r="I96">
        <v>-0.8</v>
      </c>
      <c r="J96">
        <v>243</v>
      </c>
      <c r="K96">
        <v>-0.8</v>
      </c>
      <c r="L96">
        <v>306</v>
      </c>
      <c r="M96">
        <v>11.5</v>
      </c>
      <c r="N96">
        <v>76</v>
      </c>
      <c r="O96">
        <v>1.32</v>
      </c>
      <c r="P96">
        <v>278</v>
      </c>
      <c r="Q96">
        <v>1.276</v>
      </c>
      <c r="R96">
        <v>355</v>
      </c>
      <c r="S96">
        <v>0</v>
      </c>
      <c r="T96">
        <v>184</v>
      </c>
      <c r="U96">
        <v>0.95499999999999996</v>
      </c>
      <c r="V96">
        <v>161</v>
      </c>
      <c r="W96">
        <v>0.95399999999999996</v>
      </c>
      <c r="X96">
        <v>20</v>
      </c>
      <c r="Y96">
        <v>1.1319999999999999</v>
      </c>
      <c r="Z96">
        <v>170</v>
      </c>
      <c r="AA96">
        <v>1.0329999999999999</v>
      </c>
      <c r="AB96">
        <v>46</v>
      </c>
      <c r="AC96" s="21">
        <v>0.54600000000000004</v>
      </c>
      <c r="AD96" s="21">
        <v>0.50700000000000001</v>
      </c>
      <c r="AE96">
        <v>112</v>
      </c>
      <c r="AF96">
        <v>188</v>
      </c>
      <c r="AG96" s="21">
        <v>0.51100000000000001</v>
      </c>
      <c r="AH96">
        <v>9</v>
      </c>
      <c r="AI96">
        <v>24.838000000000001</v>
      </c>
      <c r="AJ96">
        <v>159</v>
      </c>
      <c r="AK96" s="21">
        <v>0.23799999999999999</v>
      </c>
      <c r="AL96">
        <v>273</v>
      </c>
      <c r="AM96" s="21">
        <v>0.28100000000000003</v>
      </c>
      <c r="AN96">
        <v>53</v>
      </c>
      <c r="AO96" s="21">
        <v>0.36499999999999999</v>
      </c>
      <c r="AP96">
        <v>235</v>
      </c>
      <c r="AQ96" s="21">
        <v>0.34699999999999998</v>
      </c>
      <c r="AR96">
        <v>119</v>
      </c>
      <c r="AS96" s="21">
        <v>0.29699999999999999</v>
      </c>
      <c r="AT96">
        <v>83</v>
      </c>
      <c r="AU96" s="21">
        <v>0.74299999999999999</v>
      </c>
      <c r="AV96">
        <v>335</v>
      </c>
      <c r="AW96">
        <v>66.900000000000006</v>
      </c>
      <c r="AX96">
        <v>145</v>
      </c>
      <c r="AY96" s="21">
        <v>0.16300000000000001</v>
      </c>
      <c r="AZ96">
        <v>209</v>
      </c>
      <c r="BA96" s="21">
        <v>0.16300000000000001</v>
      </c>
    </row>
    <row r="97" spans="1:53" x14ac:dyDescent="0.25">
      <c r="A97" s="1" t="s">
        <v>195</v>
      </c>
      <c r="B97">
        <v>96</v>
      </c>
      <c r="C97">
        <v>5.6</v>
      </c>
      <c r="D97">
        <v>220</v>
      </c>
      <c r="E97">
        <v>-1.7</v>
      </c>
      <c r="F97">
        <v>61</v>
      </c>
      <c r="G97">
        <v>8.3000000000000007</v>
      </c>
      <c r="H97">
        <v>110</v>
      </c>
      <c r="I97">
        <v>0.2</v>
      </c>
      <c r="J97">
        <v>40</v>
      </c>
      <c r="K97">
        <v>2.2999999999999998</v>
      </c>
      <c r="L97">
        <v>287</v>
      </c>
      <c r="M97">
        <v>11.3</v>
      </c>
      <c r="N97">
        <v>304</v>
      </c>
      <c r="O97">
        <v>0.92200000000000004</v>
      </c>
      <c r="P97">
        <v>85</v>
      </c>
      <c r="Q97">
        <v>0.98699999999999999</v>
      </c>
      <c r="R97">
        <v>158</v>
      </c>
      <c r="S97">
        <v>0.5</v>
      </c>
      <c r="T97">
        <v>270</v>
      </c>
      <c r="U97">
        <v>0.93500000000000005</v>
      </c>
      <c r="V97">
        <v>22</v>
      </c>
      <c r="W97">
        <v>0.91600000000000004</v>
      </c>
      <c r="X97">
        <v>294</v>
      </c>
      <c r="Y97">
        <v>0.98699999999999999</v>
      </c>
      <c r="Z97">
        <v>184</v>
      </c>
      <c r="AA97">
        <v>1.04</v>
      </c>
      <c r="AB97">
        <v>295</v>
      </c>
      <c r="AC97" s="21">
        <v>0.48299999999999998</v>
      </c>
      <c r="AD97" s="21">
        <v>0.46899999999999997</v>
      </c>
      <c r="AE97">
        <v>291</v>
      </c>
      <c r="AF97">
        <v>304</v>
      </c>
      <c r="AG97" s="21">
        <v>0.53500000000000003</v>
      </c>
      <c r="AH97">
        <v>30</v>
      </c>
      <c r="AI97">
        <v>23.456</v>
      </c>
      <c r="AJ97">
        <v>229</v>
      </c>
      <c r="AK97" s="21">
        <v>0.254</v>
      </c>
      <c r="AL97">
        <v>303</v>
      </c>
      <c r="AM97" s="21">
        <v>0.27</v>
      </c>
      <c r="AN97">
        <v>246</v>
      </c>
      <c r="AO97" s="21">
        <v>0.32500000000000001</v>
      </c>
      <c r="AP97">
        <v>243</v>
      </c>
      <c r="AQ97" s="21">
        <v>0.34799999999999998</v>
      </c>
      <c r="AR97">
        <v>173</v>
      </c>
      <c r="AS97" s="21">
        <v>0.28000000000000003</v>
      </c>
      <c r="AT97">
        <v>217</v>
      </c>
      <c r="AU97" s="21">
        <v>0.71699999999999997</v>
      </c>
      <c r="AV97">
        <v>37</v>
      </c>
      <c r="AW97">
        <v>73.5</v>
      </c>
      <c r="AX97">
        <v>301</v>
      </c>
      <c r="AY97" s="21">
        <v>0.186</v>
      </c>
      <c r="AZ97">
        <v>29</v>
      </c>
      <c r="BA97" s="21">
        <v>0.20100000000000001</v>
      </c>
    </row>
    <row r="98" spans="1:53" x14ac:dyDescent="0.25">
      <c r="A98" s="1" t="s">
        <v>196</v>
      </c>
      <c r="B98">
        <v>97</v>
      </c>
      <c r="C98">
        <v>5.5</v>
      </c>
      <c r="D98">
        <v>94</v>
      </c>
      <c r="E98">
        <v>7</v>
      </c>
      <c r="F98">
        <v>78</v>
      </c>
      <c r="G98">
        <v>5.9</v>
      </c>
      <c r="H98">
        <v>85</v>
      </c>
      <c r="I98">
        <v>1.4</v>
      </c>
      <c r="J98">
        <v>347</v>
      </c>
      <c r="K98">
        <v>-3</v>
      </c>
      <c r="L98">
        <v>78</v>
      </c>
      <c r="M98">
        <v>9.3000000000000007</v>
      </c>
      <c r="N98">
        <v>68</v>
      </c>
      <c r="O98">
        <v>1.3360000000000001</v>
      </c>
      <c r="P98">
        <v>89</v>
      </c>
      <c r="Q98">
        <v>0.995</v>
      </c>
      <c r="R98">
        <v>347</v>
      </c>
      <c r="S98">
        <v>0.125</v>
      </c>
      <c r="T98">
        <v>34</v>
      </c>
      <c r="U98">
        <v>0.996</v>
      </c>
      <c r="V98">
        <v>133</v>
      </c>
      <c r="W98">
        <v>0.94899999999999995</v>
      </c>
      <c r="X98">
        <v>182</v>
      </c>
      <c r="Y98">
        <v>1.0329999999999999</v>
      </c>
      <c r="Z98">
        <v>198</v>
      </c>
      <c r="AA98">
        <v>1.0449999999999999</v>
      </c>
      <c r="AB98">
        <v>293</v>
      </c>
      <c r="AC98" s="21">
        <v>0.48299999999999998</v>
      </c>
      <c r="AD98" s="21">
        <v>0.46400000000000002</v>
      </c>
      <c r="AE98">
        <v>308</v>
      </c>
      <c r="AF98">
        <v>184</v>
      </c>
      <c r="AG98" s="21">
        <v>0.51</v>
      </c>
      <c r="AH98">
        <v>154</v>
      </c>
      <c r="AI98">
        <v>20.155000000000001</v>
      </c>
      <c r="AJ98">
        <v>149</v>
      </c>
      <c r="AK98" s="21">
        <v>0.23499999999999999</v>
      </c>
      <c r="AL98">
        <v>243</v>
      </c>
      <c r="AM98" s="21">
        <v>0.29099999999999998</v>
      </c>
      <c r="AN98">
        <v>261</v>
      </c>
      <c r="AO98" s="21">
        <v>0.32200000000000001</v>
      </c>
      <c r="AP98">
        <v>212</v>
      </c>
      <c r="AQ98" s="21">
        <v>0.34300000000000003</v>
      </c>
      <c r="AR98">
        <v>187</v>
      </c>
      <c r="AS98" s="21">
        <v>0.27700000000000002</v>
      </c>
      <c r="AT98">
        <v>294</v>
      </c>
      <c r="AU98" s="21">
        <v>0.69699999999999995</v>
      </c>
      <c r="AV98">
        <v>315</v>
      </c>
      <c r="AW98">
        <v>67.400000000000006</v>
      </c>
      <c r="AX98">
        <v>21</v>
      </c>
      <c r="AY98" s="21">
        <v>0.14099999999999999</v>
      </c>
      <c r="AZ98">
        <v>89</v>
      </c>
      <c r="BA98" s="21">
        <v>0.182</v>
      </c>
    </row>
    <row r="99" spans="1:53" x14ac:dyDescent="0.25">
      <c r="A99" s="1" t="s">
        <v>42</v>
      </c>
      <c r="B99">
        <v>98</v>
      </c>
      <c r="C99">
        <v>5.3</v>
      </c>
      <c r="D99">
        <v>116</v>
      </c>
      <c r="E99">
        <v>4.5</v>
      </c>
      <c r="F99">
        <v>115</v>
      </c>
      <c r="G99">
        <v>0.5</v>
      </c>
      <c r="H99">
        <v>242</v>
      </c>
      <c r="I99">
        <v>-3.9</v>
      </c>
      <c r="J99">
        <v>252</v>
      </c>
      <c r="K99">
        <v>-0.9</v>
      </c>
      <c r="L99">
        <v>40</v>
      </c>
      <c r="M99">
        <v>8.6999999999999993</v>
      </c>
      <c r="N99">
        <v>7</v>
      </c>
      <c r="O99">
        <v>1.6259999999999999</v>
      </c>
      <c r="P99">
        <v>271</v>
      </c>
      <c r="Q99">
        <v>1.2609999999999999</v>
      </c>
      <c r="R99">
        <v>158</v>
      </c>
      <c r="S99">
        <v>0.5</v>
      </c>
      <c r="T99">
        <v>1</v>
      </c>
      <c r="U99">
        <v>1.044</v>
      </c>
      <c r="V99">
        <v>289</v>
      </c>
      <c r="W99">
        <v>0.97499999999999998</v>
      </c>
      <c r="X99">
        <v>17</v>
      </c>
      <c r="Y99">
        <v>1.137</v>
      </c>
      <c r="Z99">
        <v>258</v>
      </c>
      <c r="AA99">
        <v>1.0649999999999999</v>
      </c>
      <c r="AB99">
        <v>180</v>
      </c>
      <c r="AC99" s="21">
        <v>0.50700000000000001</v>
      </c>
      <c r="AD99" s="21">
        <v>0.503</v>
      </c>
      <c r="AE99">
        <v>134</v>
      </c>
      <c r="AF99">
        <v>225</v>
      </c>
      <c r="AG99" s="21">
        <v>0.51600000000000001</v>
      </c>
      <c r="AH99">
        <v>81</v>
      </c>
      <c r="AI99">
        <v>21.704000000000001</v>
      </c>
      <c r="AJ99">
        <v>101</v>
      </c>
      <c r="AK99" s="21">
        <v>0.222</v>
      </c>
      <c r="AL99">
        <v>345</v>
      </c>
      <c r="AM99" s="21">
        <v>0.24</v>
      </c>
      <c r="AN99">
        <v>157</v>
      </c>
      <c r="AO99" s="21">
        <v>0.34100000000000003</v>
      </c>
      <c r="AP99">
        <v>291</v>
      </c>
      <c r="AQ99" s="21">
        <v>0.35699999999999998</v>
      </c>
      <c r="AR99">
        <v>7</v>
      </c>
      <c r="AS99" s="21">
        <v>0.371</v>
      </c>
      <c r="AT99">
        <v>211</v>
      </c>
      <c r="AU99" s="21">
        <v>0.71799999999999997</v>
      </c>
      <c r="AV99">
        <v>88</v>
      </c>
      <c r="AW99">
        <v>71.900000000000006</v>
      </c>
      <c r="AX99">
        <v>13</v>
      </c>
      <c r="AY99" s="21">
        <v>0.13500000000000001</v>
      </c>
      <c r="AZ99">
        <v>300</v>
      </c>
      <c r="BA99" s="21">
        <v>0.15</v>
      </c>
    </row>
    <row r="100" spans="1:53" x14ac:dyDescent="0.25">
      <c r="A100" s="1" t="s">
        <v>59</v>
      </c>
      <c r="B100">
        <v>99</v>
      </c>
      <c r="C100">
        <v>5.2</v>
      </c>
      <c r="D100">
        <v>171</v>
      </c>
      <c r="E100" t="s">
        <v>5</v>
      </c>
      <c r="F100">
        <v>175</v>
      </c>
      <c r="G100">
        <v>-2.2999999999999998</v>
      </c>
      <c r="H100">
        <v>88</v>
      </c>
      <c r="I100">
        <v>1.2</v>
      </c>
      <c r="J100">
        <v>251</v>
      </c>
      <c r="K100">
        <v>-0.9</v>
      </c>
      <c r="L100">
        <v>266</v>
      </c>
      <c r="M100">
        <v>11</v>
      </c>
      <c r="N100">
        <v>25</v>
      </c>
      <c r="O100">
        <v>1.4970000000000001</v>
      </c>
      <c r="P100">
        <v>56</v>
      </c>
      <c r="Q100">
        <v>0.95299999999999996</v>
      </c>
      <c r="R100">
        <v>279</v>
      </c>
      <c r="S100">
        <v>0.33300000000000002</v>
      </c>
      <c r="T100">
        <v>207</v>
      </c>
      <c r="U100">
        <v>0.95</v>
      </c>
      <c r="V100">
        <v>268</v>
      </c>
      <c r="W100">
        <v>0.97</v>
      </c>
      <c r="X100">
        <v>24</v>
      </c>
      <c r="Y100">
        <v>1.1299999999999999</v>
      </c>
      <c r="Z100">
        <v>62</v>
      </c>
      <c r="AA100">
        <v>0.98599999999999999</v>
      </c>
      <c r="AB100">
        <v>22</v>
      </c>
      <c r="AC100" s="21">
        <v>0.55900000000000005</v>
      </c>
      <c r="AD100" s="21">
        <v>0.54400000000000004</v>
      </c>
      <c r="AE100">
        <v>28</v>
      </c>
      <c r="AF100">
        <v>79</v>
      </c>
      <c r="AG100" s="21">
        <v>0.48699999999999999</v>
      </c>
      <c r="AH100">
        <v>126</v>
      </c>
      <c r="AI100">
        <v>20.638999999999999</v>
      </c>
      <c r="AJ100">
        <v>6</v>
      </c>
      <c r="AK100" s="21">
        <v>0.17399999999999999</v>
      </c>
      <c r="AL100">
        <v>37</v>
      </c>
      <c r="AM100" s="21">
        <v>0.38100000000000001</v>
      </c>
      <c r="AN100">
        <v>46</v>
      </c>
      <c r="AO100" s="21">
        <v>0.36699999999999999</v>
      </c>
      <c r="AP100">
        <v>40</v>
      </c>
      <c r="AQ100" s="21">
        <v>0.311</v>
      </c>
      <c r="AR100">
        <v>332</v>
      </c>
      <c r="AS100" s="21">
        <v>0.218</v>
      </c>
      <c r="AT100">
        <v>63</v>
      </c>
      <c r="AU100" s="21">
        <v>0.749</v>
      </c>
      <c r="AV100">
        <v>252</v>
      </c>
      <c r="AW100">
        <v>68.7</v>
      </c>
      <c r="AX100">
        <v>25</v>
      </c>
      <c r="AY100" s="21">
        <v>0.14199999999999999</v>
      </c>
      <c r="AZ100">
        <v>263</v>
      </c>
      <c r="BA100" s="21">
        <v>0.156</v>
      </c>
    </row>
    <row r="101" spans="1:53" x14ac:dyDescent="0.25">
      <c r="A101" s="1" t="s">
        <v>140</v>
      </c>
      <c r="B101">
        <v>100</v>
      </c>
      <c r="C101">
        <v>5</v>
      </c>
      <c r="D101">
        <v>124</v>
      </c>
      <c r="E101">
        <v>4</v>
      </c>
      <c r="F101">
        <v>70</v>
      </c>
      <c r="G101">
        <v>6.5</v>
      </c>
      <c r="H101">
        <v>63</v>
      </c>
      <c r="I101">
        <v>3.1</v>
      </c>
      <c r="J101">
        <v>124</v>
      </c>
      <c r="K101">
        <v>0.8</v>
      </c>
      <c r="L101">
        <v>123</v>
      </c>
      <c r="M101">
        <v>9.8000000000000007</v>
      </c>
      <c r="N101">
        <v>34</v>
      </c>
      <c r="O101">
        <v>1.4550000000000001</v>
      </c>
      <c r="P101">
        <v>255</v>
      </c>
      <c r="Q101">
        <v>1.2390000000000001</v>
      </c>
      <c r="R101">
        <v>116</v>
      </c>
      <c r="S101">
        <v>0.57099999999999995</v>
      </c>
      <c r="T101">
        <v>290</v>
      </c>
      <c r="U101">
        <v>0.93100000000000005</v>
      </c>
      <c r="V101">
        <v>274</v>
      </c>
      <c r="W101">
        <v>0.97199999999999998</v>
      </c>
      <c r="X101">
        <v>194</v>
      </c>
      <c r="Y101">
        <v>1.0289999999999999</v>
      </c>
      <c r="Z101">
        <v>245</v>
      </c>
      <c r="AA101">
        <v>1.0609999999999999</v>
      </c>
      <c r="AB101">
        <v>91</v>
      </c>
      <c r="AC101" s="21">
        <v>0.52700000000000002</v>
      </c>
      <c r="AD101" s="21">
        <v>0.53200000000000003</v>
      </c>
      <c r="AE101">
        <v>44</v>
      </c>
      <c r="AF101">
        <v>177</v>
      </c>
      <c r="AG101" s="21">
        <v>0.50800000000000001</v>
      </c>
      <c r="AH101">
        <v>326</v>
      </c>
      <c r="AI101">
        <v>16.335000000000001</v>
      </c>
      <c r="AJ101">
        <v>91</v>
      </c>
      <c r="AK101" s="21">
        <v>0.22</v>
      </c>
      <c r="AL101">
        <v>34</v>
      </c>
      <c r="AM101" s="21">
        <v>0.38500000000000001</v>
      </c>
      <c r="AN101">
        <v>24</v>
      </c>
      <c r="AO101" s="21">
        <v>0.375</v>
      </c>
      <c r="AP101">
        <v>201</v>
      </c>
      <c r="AQ101" s="21">
        <v>0.34100000000000003</v>
      </c>
      <c r="AR101">
        <v>344</v>
      </c>
      <c r="AS101" s="21">
        <v>0.20599999999999999</v>
      </c>
      <c r="AT101">
        <v>161</v>
      </c>
      <c r="AU101" s="21">
        <v>0.72699999999999998</v>
      </c>
      <c r="AV101">
        <v>361</v>
      </c>
      <c r="AW101">
        <v>62.9</v>
      </c>
      <c r="AX101">
        <v>130</v>
      </c>
      <c r="AY101" s="21">
        <v>0.16</v>
      </c>
      <c r="AZ101">
        <v>278</v>
      </c>
      <c r="BA101" s="21">
        <v>0.153</v>
      </c>
    </row>
    <row r="102" spans="1:53" x14ac:dyDescent="0.25">
      <c r="A102" s="1" t="s">
        <v>53</v>
      </c>
      <c r="B102">
        <v>101</v>
      </c>
      <c r="C102">
        <v>4.9000000000000004</v>
      </c>
      <c r="D102">
        <v>119</v>
      </c>
      <c r="E102">
        <v>4.4000000000000004</v>
      </c>
      <c r="F102">
        <v>69</v>
      </c>
      <c r="G102">
        <v>6.6</v>
      </c>
      <c r="H102">
        <v>53</v>
      </c>
      <c r="I102">
        <v>3.6</v>
      </c>
      <c r="J102">
        <v>204</v>
      </c>
      <c r="K102">
        <v>-0.4</v>
      </c>
      <c r="L102">
        <v>18</v>
      </c>
      <c r="M102">
        <v>8.1999999999999993</v>
      </c>
      <c r="N102">
        <v>205</v>
      </c>
      <c r="O102">
        <v>1.08</v>
      </c>
      <c r="P102">
        <v>306</v>
      </c>
      <c r="Q102">
        <v>1.3460000000000001</v>
      </c>
      <c r="R102">
        <v>279</v>
      </c>
      <c r="S102">
        <v>0.33300000000000002</v>
      </c>
      <c r="T102">
        <v>204</v>
      </c>
      <c r="U102">
        <v>0.95</v>
      </c>
      <c r="V102">
        <v>297</v>
      </c>
      <c r="W102">
        <v>0.97599999999999998</v>
      </c>
      <c r="X102">
        <v>168</v>
      </c>
      <c r="Y102">
        <v>1.04</v>
      </c>
      <c r="Z102">
        <v>292</v>
      </c>
      <c r="AA102">
        <v>1.083</v>
      </c>
      <c r="AB102">
        <v>162</v>
      </c>
      <c r="AC102" s="21">
        <v>0.51</v>
      </c>
      <c r="AD102" s="21">
        <v>0.51800000000000002</v>
      </c>
      <c r="AE102">
        <v>75</v>
      </c>
      <c r="AF102">
        <v>275</v>
      </c>
      <c r="AG102" s="21">
        <v>0.52900000000000003</v>
      </c>
      <c r="AH102">
        <v>198</v>
      </c>
      <c r="AI102">
        <v>19.366</v>
      </c>
      <c r="AJ102">
        <v>207</v>
      </c>
      <c r="AK102" s="21">
        <v>0.248</v>
      </c>
      <c r="AL102">
        <v>321</v>
      </c>
      <c r="AM102" s="21">
        <v>0.25700000000000001</v>
      </c>
      <c r="AN102">
        <v>226</v>
      </c>
      <c r="AO102" s="21">
        <v>0.32800000000000001</v>
      </c>
      <c r="AP102">
        <v>225</v>
      </c>
      <c r="AQ102" s="21">
        <v>0.34499999999999997</v>
      </c>
      <c r="AR102">
        <v>167</v>
      </c>
      <c r="AS102" s="21">
        <v>0.28199999999999997</v>
      </c>
      <c r="AT102">
        <v>54</v>
      </c>
      <c r="AU102" s="21">
        <v>0.752</v>
      </c>
      <c r="AV102">
        <v>91</v>
      </c>
      <c r="AW102">
        <v>71.8</v>
      </c>
      <c r="AX102">
        <v>229</v>
      </c>
      <c r="AY102" s="21">
        <v>0.17499999999999999</v>
      </c>
      <c r="AZ102">
        <v>341</v>
      </c>
      <c r="BA102" s="21">
        <v>0.13700000000000001</v>
      </c>
    </row>
    <row r="103" spans="1:53" x14ac:dyDescent="0.25">
      <c r="A103" s="1" t="s">
        <v>167</v>
      </c>
      <c r="B103">
        <v>102</v>
      </c>
      <c r="C103">
        <v>4.8</v>
      </c>
      <c r="D103">
        <v>169</v>
      </c>
      <c r="E103">
        <v>0</v>
      </c>
      <c r="F103">
        <v>91</v>
      </c>
      <c r="G103">
        <v>4.2</v>
      </c>
      <c r="H103">
        <v>64</v>
      </c>
      <c r="I103">
        <v>3</v>
      </c>
      <c r="J103">
        <v>137</v>
      </c>
      <c r="K103">
        <v>0.7</v>
      </c>
      <c r="L103">
        <v>7</v>
      </c>
      <c r="M103">
        <v>7.9</v>
      </c>
      <c r="N103">
        <v>181</v>
      </c>
      <c r="O103">
        <v>1.131</v>
      </c>
      <c r="P103">
        <v>256</v>
      </c>
      <c r="Q103">
        <v>1.24</v>
      </c>
      <c r="R103">
        <v>309</v>
      </c>
      <c r="S103">
        <v>0.28599999999999998</v>
      </c>
      <c r="T103">
        <v>147</v>
      </c>
      <c r="U103">
        <v>0.96199999999999997</v>
      </c>
      <c r="V103">
        <v>185</v>
      </c>
      <c r="W103">
        <v>0.95699999999999996</v>
      </c>
      <c r="X103">
        <v>202</v>
      </c>
      <c r="Y103">
        <v>1.0269999999999999</v>
      </c>
      <c r="Z103">
        <v>106</v>
      </c>
      <c r="AA103">
        <v>1.01</v>
      </c>
      <c r="AB103">
        <v>239</v>
      </c>
      <c r="AC103" s="21">
        <v>0.497</v>
      </c>
      <c r="AD103" s="21">
        <v>0.496</v>
      </c>
      <c r="AE103">
        <v>175</v>
      </c>
      <c r="AF103">
        <v>104</v>
      </c>
      <c r="AG103" s="21">
        <v>0.49299999999999999</v>
      </c>
      <c r="AH103">
        <v>109</v>
      </c>
      <c r="AI103">
        <v>21.077000000000002</v>
      </c>
      <c r="AJ103">
        <v>150</v>
      </c>
      <c r="AK103" s="21">
        <v>0.23599999999999999</v>
      </c>
      <c r="AL103">
        <v>297</v>
      </c>
      <c r="AM103" s="21">
        <v>0.27600000000000002</v>
      </c>
      <c r="AN103">
        <v>202</v>
      </c>
      <c r="AO103" s="21">
        <v>0.33300000000000002</v>
      </c>
      <c r="AP103">
        <v>71</v>
      </c>
      <c r="AQ103" s="21">
        <v>0.31900000000000001</v>
      </c>
      <c r="AR103">
        <v>238</v>
      </c>
      <c r="AS103" s="21">
        <v>0.25600000000000001</v>
      </c>
      <c r="AT103">
        <v>179</v>
      </c>
      <c r="AU103" s="21">
        <v>0.72399999999999998</v>
      </c>
      <c r="AV103">
        <v>314</v>
      </c>
      <c r="AW103">
        <v>67.400000000000006</v>
      </c>
      <c r="AX103">
        <v>112</v>
      </c>
      <c r="AY103" s="21">
        <v>0.158</v>
      </c>
      <c r="AZ103">
        <v>127</v>
      </c>
      <c r="BA103" s="21">
        <v>0.17399999999999999</v>
      </c>
    </row>
    <row r="104" spans="1:53" x14ac:dyDescent="0.25">
      <c r="A104" s="1" t="s">
        <v>536</v>
      </c>
      <c r="B104">
        <v>103</v>
      </c>
      <c r="C104">
        <v>4.7</v>
      </c>
      <c r="D104">
        <v>155</v>
      </c>
      <c r="E104">
        <v>1.1000000000000001</v>
      </c>
      <c r="F104">
        <v>103</v>
      </c>
      <c r="G104">
        <v>1.3</v>
      </c>
      <c r="H104">
        <v>239</v>
      </c>
      <c r="I104">
        <v>-3.9</v>
      </c>
      <c r="J104">
        <v>84</v>
      </c>
      <c r="K104">
        <v>1.3</v>
      </c>
      <c r="L104">
        <v>314</v>
      </c>
      <c r="M104">
        <v>11.6</v>
      </c>
      <c r="N104">
        <v>79</v>
      </c>
      <c r="O104">
        <v>1.3069999999999999</v>
      </c>
      <c r="P104">
        <v>83</v>
      </c>
      <c r="Q104">
        <v>0.98699999999999999</v>
      </c>
      <c r="R104">
        <v>72</v>
      </c>
      <c r="S104">
        <v>0.63600000000000001</v>
      </c>
      <c r="T104">
        <v>227</v>
      </c>
      <c r="U104">
        <v>0.94699999999999995</v>
      </c>
      <c r="V104">
        <v>73</v>
      </c>
      <c r="W104">
        <v>0.93600000000000005</v>
      </c>
      <c r="X104">
        <v>171</v>
      </c>
      <c r="Y104">
        <v>1.0369999999999999</v>
      </c>
      <c r="Z104">
        <v>67</v>
      </c>
      <c r="AA104">
        <v>0.98799999999999999</v>
      </c>
      <c r="AB104">
        <v>94</v>
      </c>
      <c r="AC104" s="21">
        <v>0.52600000000000002</v>
      </c>
      <c r="AD104" s="21">
        <v>0.497</v>
      </c>
      <c r="AE104">
        <v>168</v>
      </c>
      <c r="AF104">
        <v>91</v>
      </c>
      <c r="AG104" s="21">
        <v>0.49</v>
      </c>
      <c r="AH104">
        <v>292</v>
      </c>
      <c r="AI104">
        <v>17.283000000000001</v>
      </c>
      <c r="AJ104">
        <v>178</v>
      </c>
      <c r="AK104" s="21">
        <v>0.24299999999999999</v>
      </c>
      <c r="AL104">
        <v>92</v>
      </c>
      <c r="AM104" s="21">
        <v>0.34599999999999997</v>
      </c>
      <c r="AN104">
        <v>131</v>
      </c>
      <c r="AO104" s="21">
        <v>0.34699999999999998</v>
      </c>
      <c r="AP104">
        <v>146</v>
      </c>
      <c r="AQ104" s="21">
        <v>0.33300000000000002</v>
      </c>
      <c r="AR104">
        <v>195</v>
      </c>
      <c r="AS104" s="21">
        <v>0.27600000000000002</v>
      </c>
      <c r="AT104">
        <v>48</v>
      </c>
      <c r="AU104" s="21">
        <v>0.753</v>
      </c>
      <c r="AV104">
        <v>196</v>
      </c>
      <c r="AW104">
        <v>70</v>
      </c>
      <c r="AX104">
        <v>206</v>
      </c>
      <c r="AY104" s="21">
        <v>0.17100000000000001</v>
      </c>
      <c r="AZ104">
        <v>131</v>
      </c>
      <c r="BA104" s="21">
        <v>0.17399999999999999</v>
      </c>
    </row>
    <row r="105" spans="1:53" x14ac:dyDescent="0.25">
      <c r="A105" s="1" t="s">
        <v>50</v>
      </c>
      <c r="B105">
        <v>104</v>
      </c>
      <c r="C105">
        <v>4.7</v>
      </c>
      <c r="D105">
        <v>255</v>
      </c>
      <c r="E105">
        <v>-3.9</v>
      </c>
      <c r="F105">
        <v>117</v>
      </c>
      <c r="G105">
        <v>0.4</v>
      </c>
      <c r="H105">
        <v>136</v>
      </c>
      <c r="I105">
        <v>-0.9</v>
      </c>
      <c r="J105">
        <v>261</v>
      </c>
      <c r="K105">
        <v>-1.1000000000000001</v>
      </c>
      <c r="L105">
        <v>333</v>
      </c>
      <c r="M105">
        <v>12</v>
      </c>
      <c r="N105">
        <v>74</v>
      </c>
      <c r="O105">
        <v>1.325</v>
      </c>
      <c r="P105">
        <v>52</v>
      </c>
      <c r="Q105">
        <v>0.94299999999999995</v>
      </c>
      <c r="R105">
        <v>93</v>
      </c>
      <c r="S105">
        <v>0.6</v>
      </c>
      <c r="T105">
        <v>259</v>
      </c>
      <c r="U105">
        <v>0.93899999999999995</v>
      </c>
      <c r="V105">
        <v>87</v>
      </c>
      <c r="W105">
        <v>0.93899999999999995</v>
      </c>
      <c r="X105">
        <v>68</v>
      </c>
      <c r="Y105">
        <v>1.0920000000000001</v>
      </c>
      <c r="Z105">
        <v>115</v>
      </c>
      <c r="AA105">
        <v>1.0129999999999999</v>
      </c>
      <c r="AB105">
        <v>29</v>
      </c>
      <c r="AC105" s="21">
        <v>0.55500000000000005</v>
      </c>
      <c r="AD105" s="21">
        <v>0.52100000000000002</v>
      </c>
      <c r="AE105">
        <v>62</v>
      </c>
      <c r="AF105">
        <v>220</v>
      </c>
      <c r="AG105" s="21">
        <v>0.51500000000000001</v>
      </c>
      <c r="AH105">
        <v>181</v>
      </c>
      <c r="AI105">
        <v>19.631</v>
      </c>
      <c r="AJ105">
        <v>53</v>
      </c>
      <c r="AK105" s="21">
        <v>0.21</v>
      </c>
      <c r="AL105">
        <v>230</v>
      </c>
      <c r="AM105" s="21">
        <v>0.29599999999999999</v>
      </c>
      <c r="AN105">
        <v>28</v>
      </c>
      <c r="AO105" s="21">
        <v>0.372</v>
      </c>
      <c r="AP105">
        <v>309</v>
      </c>
      <c r="AQ105" s="21">
        <v>0.36</v>
      </c>
      <c r="AR105">
        <v>324</v>
      </c>
      <c r="AS105" s="21">
        <v>0.222</v>
      </c>
      <c r="AT105">
        <v>34</v>
      </c>
      <c r="AU105" s="21">
        <v>0.76</v>
      </c>
      <c r="AV105">
        <v>342</v>
      </c>
      <c r="AW105">
        <v>66.7</v>
      </c>
      <c r="AX105">
        <v>95</v>
      </c>
      <c r="AY105" s="21">
        <v>0.156</v>
      </c>
      <c r="AZ105">
        <v>157</v>
      </c>
      <c r="BA105" s="21">
        <v>0.17</v>
      </c>
    </row>
    <row r="106" spans="1:53" x14ac:dyDescent="0.25">
      <c r="A106" s="1" t="s">
        <v>230</v>
      </c>
      <c r="B106">
        <v>105</v>
      </c>
      <c r="C106">
        <v>4.5</v>
      </c>
      <c r="D106">
        <v>25</v>
      </c>
      <c r="E106">
        <v>17.2</v>
      </c>
      <c r="F106">
        <v>64</v>
      </c>
      <c r="G106">
        <v>7.6</v>
      </c>
      <c r="H106">
        <v>147</v>
      </c>
      <c r="I106">
        <v>-1.2</v>
      </c>
      <c r="J106">
        <v>107</v>
      </c>
      <c r="K106">
        <v>1.1000000000000001</v>
      </c>
      <c r="L106">
        <v>288</v>
      </c>
      <c r="M106">
        <v>11.3</v>
      </c>
      <c r="N106">
        <v>211</v>
      </c>
      <c r="O106">
        <v>1.0660000000000001</v>
      </c>
      <c r="P106">
        <v>154</v>
      </c>
      <c r="Q106">
        <v>1.0840000000000001</v>
      </c>
      <c r="R106">
        <v>116</v>
      </c>
      <c r="S106">
        <v>0.57099999999999995</v>
      </c>
      <c r="T106">
        <v>225</v>
      </c>
      <c r="U106">
        <v>0.94699999999999995</v>
      </c>
      <c r="V106">
        <v>118</v>
      </c>
      <c r="W106">
        <v>0.94699999999999995</v>
      </c>
      <c r="X106">
        <v>226</v>
      </c>
      <c r="Y106">
        <v>1.0149999999999999</v>
      </c>
      <c r="Z106">
        <v>287</v>
      </c>
      <c r="AA106">
        <v>1.079</v>
      </c>
      <c r="AB106">
        <v>188</v>
      </c>
      <c r="AC106" s="21">
        <v>0.50600000000000001</v>
      </c>
      <c r="AD106" s="21">
        <v>0.48899999999999999</v>
      </c>
      <c r="AE106">
        <v>212</v>
      </c>
      <c r="AF106">
        <v>282</v>
      </c>
      <c r="AG106" s="21">
        <v>0.53</v>
      </c>
      <c r="AH106">
        <v>199</v>
      </c>
      <c r="AI106">
        <v>19.34</v>
      </c>
      <c r="AJ106">
        <v>273</v>
      </c>
      <c r="AK106" s="21">
        <v>0.26400000000000001</v>
      </c>
      <c r="AL106">
        <v>235</v>
      </c>
      <c r="AM106" s="21">
        <v>0.29399999999999998</v>
      </c>
      <c r="AN106">
        <v>149</v>
      </c>
      <c r="AO106" s="21">
        <v>0.34399999999999997</v>
      </c>
      <c r="AP106">
        <v>260</v>
      </c>
      <c r="AQ106" s="21">
        <v>0.35099999999999998</v>
      </c>
      <c r="AR106">
        <v>232</v>
      </c>
      <c r="AS106" s="21">
        <v>0.25900000000000001</v>
      </c>
      <c r="AT106">
        <v>123</v>
      </c>
      <c r="AU106" s="21">
        <v>0.73399999999999999</v>
      </c>
      <c r="AV106">
        <v>179</v>
      </c>
      <c r="AW106">
        <v>70.3</v>
      </c>
      <c r="AX106">
        <v>210</v>
      </c>
      <c r="AY106" s="21">
        <v>0.17199999999999999</v>
      </c>
      <c r="AZ106">
        <v>192</v>
      </c>
      <c r="BA106" s="21">
        <v>0.16400000000000001</v>
      </c>
    </row>
    <row r="107" spans="1:53" x14ac:dyDescent="0.25">
      <c r="A107" s="1" t="s">
        <v>45</v>
      </c>
      <c r="B107">
        <v>106</v>
      </c>
      <c r="C107">
        <v>4.4000000000000004</v>
      </c>
      <c r="D107">
        <v>134</v>
      </c>
      <c r="E107">
        <v>3</v>
      </c>
      <c r="F107">
        <v>179</v>
      </c>
      <c r="G107">
        <v>-2.5</v>
      </c>
      <c r="H107">
        <v>125</v>
      </c>
      <c r="I107">
        <v>-0.6</v>
      </c>
      <c r="J107">
        <v>21</v>
      </c>
      <c r="K107">
        <v>2.7</v>
      </c>
      <c r="L107">
        <v>109</v>
      </c>
      <c r="M107">
        <v>9.6</v>
      </c>
      <c r="N107">
        <v>31</v>
      </c>
      <c r="O107">
        <v>1.466</v>
      </c>
      <c r="P107">
        <v>59</v>
      </c>
      <c r="Q107">
        <v>0.95699999999999996</v>
      </c>
      <c r="R107">
        <v>41</v>
      </c>
      <c r="S107">
        <v>0.71399999999999997</v>
      </c>
      <c r="T107">
        <v>93</v>
      </c>
      <c r="U107">
        <v>0.97199999999999998</v>
      </c>
      <c r="V107">
        <v>148</v>
      </c>
      <c r="W107">
        <v>0.95099999999999996</v>
      </c>
      <c r="X107">
        <v>30</v>
      </c>
      <c r="Y107">
        <v>1.1259999999999999</v>
      </c>
      <c r="Z107">
        <v>131</v>
      </c>
      <c r="AA107">
        <v>1.0169999999999999</v>
      </c>
      <c r="AB107">
        <v>31</v>
      </c>
      <c r="AC107" s="21">
        <v>0.55400000000000005</v>
      </c>
      <c r="AD107" s="21">
        <v>0.53600000000000003</v>
      </c>
      <c r="AE107">
        <v>36</v>
      </c>
      <c r="AF107">
        <v>113</v>
      </c>
      <c r="AG107" s="21">
        <v>0.495</v>
      </c>
      <c r="AH107">
        <v>293</v>
      </c>
      <c r="AI107">
        <v>17.257999999999999</v>
      </c>
      <c r="AJ107">
        <v>203</v>
      </c>
      <c r="AK107" s="21">
        <v>0.248</v>
      </c>
      <c r="AL107">
        <v>40</v>
      </c>
      <c r="AM107" s="21">
        <v>0.38100000000000001</v>
      </c>
      <c r="AN107">
        <v>49</v>
      </c>
      <c r="AO107" s="21">
        <v>0.36599999999999999</v>
      </c>
      <c r="AP107">
        <v>70</v>
      </c>
      <c r="AQ107" s="21">
        <v>0.31900000000000001</v>
      </c>
      <c r="AR107">
        <v>80</v>
      </c>
      <c r="AS107" s="21">
        <v>0.316</v>
      </c>
      <c r="AT107">
        <v>106</v>
      </c>
      <c r="AU107" s="21">
        <v>0.73799999999999999</v>
      </c>
      <c r="AV107">
        <v>13</v>
      </c>
      <c r="AW107">
        <v>74.599999999999994</v>
      </c>
      <c r="AX107">
        <v>139</v>
      </c>
      <c r="AY107" s="21">
        <v>0.16200000000000001</v>
      </c>
      <c r="AZ107">
        <v>180</v>
      </c>
      <c r="BA107" s="21">
        <v>0.16700000000000001</v>
      </c>
    </row>
    <row r="108" spans="1:53" x14ac:dyDescent="0.25">
      <c r="A108" s="1" t="s">
        <v>537</v>
      </c>
      <c r="B108">
        <v>107</v>
      </c>
      <c r="C108">
        <v>4.3</v>
      </c>
      <c r="D108">
        <v>103</v>
      </c>
      <c r="E108">
        <v>6.1</v>
      </c>
      <c r="F108">
        <v>98</v>
      </c>
      <c r="G108">
        <v>2.1</v>
      </c>
      <c r="H108">
        <v>70</v>
      </c>
      <c r="I108">
        <v>2.2999999999999998</v>
      </c>
      <c r="J108">
        <v>274</v>
      </c>
      <c r="K108">
        <v>-1.3</v>
      </c>
      <c r="L108">
        <v>208</v>
      </c>
      <c r="M108">
        <v>10.5</v>
      </c>
      <c r="N108">
        <v>54</v>
      </c>
      <c r="O108">
        <v>1.377</v>
      </c>
      <c r="P108">
        <v>243</v>
      </c>
      <c r="Q108">
        <v>1.2110000000000001</v>
      </c>
      <c r="R108">
        <v>130</v>
      </c>
      <c r="S108">
        <v>0.55600000000000005</v>
      </c>
      <c r="T108">
        <v>130</v>
      </c>
      <c r="U108">
        <v>0.96499999999999997</v>
      </c>
      <c r="V108">
        <v>302</v>
      </c>
      <c r="W108">
        <v>0.97799999999999998</v>
      </c>
      <c r="X108">
        <v>85</v>
      </c>
      <c r="Y108">
        <v>1.0780000000000001</v>
      </c>
      <c r="Z108">
        <v>211</v>
      </c>
      <c r="AA108">
        <v>1.05</v>
      </c>
      <c r="AB108">
        <v>76</v>
      </c>
      <c r="AC108" s="21">
        <v>0.53200000000000003</v>
      </c>
      <c r="AD108" s="21">
        <v>0.53100000000000003</v>
      </c>
      <c r="AE108">
        <v>46</v>
      </c>
      <c r="AF108">
        <v>118</v>
      </c>
      <c r="AG108" s="21">
        <v>0.496</v>
      </c>
      <c r="AH108">
        <v>200</v>
      </c>
      <c r="AI108">
        <v>19.327999999999999</v>
      </c>
      <c r="AJ108">
        <v>209</v>
      </c>
      <c r="AK108" s="21">
        <v>0.249</v>
      </c>
      <c r="AL108">
        <v>148</v>
      </c>
      <c r="AM108" s="21">
        <v>0.32500000000000001</v>
      </c>
      <c r="AN108">
        <v>119</v>
      </c>
      <c r="AO108" s="21">
        <v>0.34899999999999998</v>
      </c>
      <c r="AP108">
        <v>336</v>
      </c>
      <c r="AQ108" s="21">
        <v>0.36799999999999999</v>
      </c>
      <c r="AR108">
        <v>160</v>
      </c>
      <c r="AS108" s="21">
        <v>0.28399999999999997</v>
      </c>
      <c r="AT108">
        <v>224</v>
      </c>
      <c r="AU108" s="21">
        <v>0.71599999999999997</v>
      </c>
      <c r="AV108">
        <v>70</v>
      </c>
      <c r="AW108">
        <v>72.400000000000006</v>
      </c>
      <c r="AX108">
        <v>108</v>
      </c>
      <c r="AY108" s="21">
        <v>0.158</v>
      </c>
      <c r="AZ108">
        <v>268</v>
      </c>
      <c r="BA108" s="21">
        <v>0.156</v>
      </c>
    </row>
    <row r="109" spans="1:53" x14ac:dyDescent="0.25">
      <c r="A109" s="1" t="s">
        <v>208</v>
      </c>
      <c r="B109">
        <v>108</v>
      </c>
      <c r="C109">
        <v>4.3</v>
      </c>
      <c r="D109">
        <v>33</v>
      </c>
      <c r="E109">
        <v>15.6</v>
      </c>
      <c r="F109">
        <v>151</v>
      </c>
      <c r="G109">
        <v>-1.1000000000000001</v>
      </c>
      <c r="H109">
        <v>113</v>
      </c>
      <c r="I109">
        <v>0.1</v>
      </c>
      <c r="J109">
        <v>180</v>
      </c>
      <c r="K109">
        <v>0</v>
      </c>
      <c r="L109">
        <v>14</v>
      </c>
      <c r="M109">
        <v>8</v>
      </c>
      <c r="N109">
        <v>240</v>
      </c>
      <c r="O109">
        <v>1.0269999999999999</v>
      </c>
      <c r="P109">
        <v>32</v>
      </c>
      <c r="Q109">
        <v>0.90200000000000002</v>
      </c>
      <c r="R109">
        <v>264</v>
      </c>
      <c r="S109">
        <v>0.375</v>
      </c>
      <c r="T109">
        <v>74</v>
      </c>
      <c r="U109">
        <v>0.97799999999999998</v>
      </c>
      <c r="V109">
        <v>104</v>
      </c>
      <c r="W109">
        <v>0.94399999999999995</v>
      </c>
      <c r="X109">
        <v>134</v>
      </c>
      <c r="Y109">
        <v>1.0549999999999999</v>
      </c>
      <c r="Z109">
        <v>22</v>
      </c>
      <c r="AA109">
        <v>0.96099999999999997</v>
      </c>
      <c r="AB109">
        <v>221</v>
      </c>
      <c r="AC109" s="21">
        <v>0.501</v>
      </c>
      <c r="AD109" s="21">
        <v>0.46800000000000003</v>
      </c>
      <c r="AE109">
        <v>298</v>
      </c>
      <c r="AF109">
        <v>31</v>
      </c>
      <c r="AG109" s="21">
        <v>0.47199999999999998</v>
      </c>
      <c r="AH109">
        <v>45</v>
      </c>
      <c r="AI109">
        <v>22.692</v>
      </c>
      <c r="AJ109">
        <v>67</v>
      </c>
      <c r="AK109" s="21">
        <v>0.214</v>
      </c>
      <c r="AL109">
        <v>163</v>
      </c>
      <c r="AM109" s="21">
        <v>0.31900000000000001</v>
      </c>
      <c r="AN109">
        <v>339</v>
      </c>
      <c r="AO109" s="21">
        <v>0.30299999999999999</v>
      </c>
      <c r="AP109">
        <v>105</v>
      </c>
      <c r="AQ109" s="21">
        <v>0.32600000000000001</v>
      </c>
      <c r="AR109">
        <v>4</v>
      </c>
      <c r="AS109" s="21">
        <v>0.377</v>
      </c>
      <c r="AT109">
        <v>276</v>
      </c>
      <c r="AU109" s="21">
        <v>0.70199999999999996</v>
      </c>
      <c r="AV109">
        <v>255</v>
      </c>
      <c r="AW109">
        <v>68.7</v>
      </c>
      <c r="AX109">
        <v>332</v>
      </c>
      <c r="AY109" s="21">
        <v>0.19400000000000001</v>
      </c>
      <c r="AZ109">
        <v>53</v>
      </c>
      <c r="BA109" s="21">
        <v>0.193</v>
      </c>
    </row>
    <row r="110" spans="1:53" x14ac:dyDescent="0.25">
      <c r="A110" s="1" t="s">
        <v>177</v>
      </c>
      <c r="B110">
        <v>109</v>
      </c>
      <c r="C110">
        <v>4.2</v>
      </c>
      <c r="D110">
        <v>68</v>
      </c>
      <c r="E110">
        <v>10.9</v>
      </c>
      <c r="F110">
        <v>74</v>
      </c>
      <c r="G110">
        <v>6.1</v>
      </c>
      <c r="H110">
        <v>174</v>
      </c>
      <c r="I110">
        <v>-2.2000000000000002</v>
      </c>
      <c r="J110">
        <v>197</v>
      </c>
      <c r="K110">
        <v>-0.1</v>
      </c>
      <c r="L110">
        <v>304</v>
      </c>
      <c r="M110">
        <v>11.5</v>
      </c>
      <c r="N110">
        <v>97</v>
      </c>
      <c r="O110">
        <v>1.2729999999999999</v>
      </c>
      <c r="P110">
        <v>318</v>
      </c>
      <c r="Q110">
        <v>1.385</v>
      </c>
      <c r="R110">
        <v>116</v>
      </c>
      <c r="S110">
        <v>0.57099999999999995</v>
      </c>
      <c r="T110">
        <v>275</v>
      </c>
      <c r="U110">
        <v>0.93500000000000005</v>
      </c>
      <c r="V110">
        <v>294</v>
      </c>
      <c r="W110">
        <v>0.97599999999999998</v>
      </c>
      <c r="X110">
        <v>180</v>
      </c>
      <c r="Y110">
        <v>1.034</v>
      </c>
      <c r="Z110">
        <v>226</v>
      </c>
      <c r="AA110">
        <v>1.054</v>
      </c>
      <c r="AB110">
        <v>90</v>
      </c>
      <c r="AC110" s="21">
        <v>0.52700000000000002</v>
      </c>
      <c r="AD110" s="21">
        <v>0.51500000000000001</v>
      </c>
      <c r="AE110">
        <v>84</v>
      </c>
      <c r="AF110">
        <v>212</v>
      </c>
      <c r="AG110" s="21">
        <v>0.51400000000000001</v>
      </c>
      <c r="AH110">
        <v>335</v>
      </c>
      <c r="AI110">
        <v>16.053999999999998</v>
      </c>
      <c r="AJ110">
        <v>90</v>
      </c>
      <c r="AK110" s="21">
        <v>0.219</v>
      </c>
      <c r="AL110">
        <v>33</v>
      </c>
      <c r="AM110" s="21">
        <v>0.38600000000000001</v>
      </c>
      <c r="AN110">
        <v>135</v>
      </c>
      <c r="AO110" s="21">
        <v>0.34599999999999997</v>
      </c>
      <c r="AP110">
        <v>220</v>
      </c>
      <c r="AQ110" s="21">
        <v>0.34399999999999997</v>
      </c>
      <c r="AR110">
        <v>260</v>
      </c>
      <c r="AS110" s="21">
        <v>0.25</v>
      </c>
      <c r="AT110">
        <v>167</v>
      </c>
      <c r="AU110" s="21">
        <v>0.72599999999999998</v>
      </c>
      <c r="AV110">
        <v>172</v>
      </c>
      <c r="AW110">
        <v>70.400000000000006</v>
      </c>
      <c r="AX110">
        <v>230</v>
      </c>
      <c r="AY110" s="21">
        <v>0.17499999999999999</v>
      </c>
      <c r="AZ110">
        <v>287</v>
      </c>
      <c r="BA110" s="21">
        <v>0.152</v>
      </c>
    </row>
    <row r="111" spans="1:53" x14ac:dyDescent="0.25">
      <c r="A111" s="1" t="s">
        <v>538</v>
      </c>
      <c r="B111">
        <v>110</v>
      </c>
      <c r="C111">
        <v>4.2</v>
      </c>
      <c r="D111">
        <v>89</v>
      </c>
      <c r="E111">
        <v>7.7</v>
      </c>
      <c r="F111">
        <v>101</v>
      </c>
      <c r="G111">
        <v>1.7</v>
      </c>
      <c r="H111">
        <v>163</v>
      </c>
      <c r="I111">
        <v>-1.7</v>
      </c>
      <c r="J111">
        <v>35</v>
      </c>
      <c r="K111">
        <v>2.4</v>
      </c>
      <c r="L111">
        <v>200</v>
      </c>
      <c r="M111">
        <v>10.5</v>
      </c>
      <c r="N111">
        <v>239</v>
      </c>
      <c r="O111">
        <v>1.0269999999999999</v>
      </c>
      <c r="P111">
        <v>169</v>
      </c>
      <c r="Q111">
        <v>1.1100000000000001</v>
      </c>
      <c r="R111">
        <v>93</v>
      </c>
      <c r="S111">
        <v>0.6</v>
      </c>
      <c r="T111">
        <v>145</v>
      </c>
      <c r="U111">
        <v>0.96199999999999997</v>
      </c>
      <c r="V111">
        <v>63</v>
      </c>
      <c r="W111">
        <v>0.93300000000000005</v>
      </c>
      <c r="X111">
        <v>179</v>
      </c>
      <c r="Y111">
        <v>1.034</v>
      </c>
      <c r="Z111">
        <v>51</v>
      </c>
      <c r="AA111">
        <v>0.98099999999999998</v>
      </c>
      <c r="AB111">
        <v>210</v>
      </c>
      <c r="AC111" s="21">
        <v>0.502</v>
      </c>
      <c r="AD111" s="21">
        <v>0.48299999999999998</v>
      </c>
      <c r="AE111">
        <v>249</v>
      </c>
      <c r="AF111">
        <v>123</v>
      </c>
      <c r="AG111" s="21">
        <v>0.497</v>
      </c>
      <c r="AH111">
        <v>209</v>
      </c>
      <c r="AI111">
        <v>19.064</v>
      </c>
      <c r="AJ111">
        <v>13</v>
      </c>
      <c r="AK111" s="21">
        <v>0.183</v>
      </c>
      <c r="AL111">
        <v>310</v>
      </c>
      <c r="AM111" s="21">
        <v>0.26700000000000002</v>
      </c>
      <c r="AN111">
        <v>296</v>
      </c>
      <c r="AO111" s="21">
        <v>0.314</v>
      </c>
      <c r="AP111">
        <v>95</v>
      </c>
      <c r="AQ111" s="21">
        <v>0.32400000000000001</v>
      </c>
      <c r="AR111">
        <v>229</v>
      </c>
      <c r="AS111" s="21">
        <v>0.26</v>
      </c>
      <c r="AT111">
        <v>76</v>
      </c>
      <c r="AU111" s="21">
        <v>0.746</v>
      </c>
      <c r="AV111">
        <v>345</v>
      </c>
      <c r="AW111">
        <v>66.599999999999994</v>
      </c>
      <c r="AX111">
        <v>94</v>
      </c>
      <c r="AY111" s="21">
        <v>0.156</v>
      </c>
      <c r="AZ111">
        <v>85</v>
      </c>
      <c r="BA111" s="21">
        <v>0.184</v>
      </c>
    </row>
    <row r="112" spans="1:53" x14ac:dyDescent="0.25">
      <c r="A112" s="1" t="s">
        <v>98</v>
      </c>
      <c r="B112">
        <v>111</v>
      </c>
      <c r="C112">
        <v>4.0999999999999996</v>
      </c>
      <c r="D112">
        <v>234</v>
      </c>
      <c r="E112">
        <v>-2.6</v>
      </c>
      <c r="F112">
        <v>97</v>
      </c>
      <c r="G112">
        <v>2.2999999999999998</v>
      </c>
      <c r="H112">
        <v>132</v>
      </c>
      <c r="I112">
        <v>-0.8</v>
      </c>
      <c r="J112">
        <v>162</v>
      </c>
      <c r="K112">
        <v>0.3</v>
      </c>
      <c r="L112">
        <v>121</v>
      </c>
      <c r="M112">
        <v>9.8000000000000007</v>
      </c>
      <c r="N112">
        <v>154</v>
      </c>
      <c r="O112">
        <v>1.173</v>
      </c>
      <c r="P112">
        <v>281</v>
      </c>
      <c r="Q112">
        <v>1.28</v>
      </c>
      <c r="R112">
        <v>93</v>
      </c>
      <c r="S112">
        <v>0.6</v>
      </c>
      <c r="T112">
        <v>348</v>
      </c>
      <c r="U112">
        <v>0.90800000000000003</v>
      </c>
      <c r="V112">
        <v>338</v>
      </c>
      <c r="W112">
        <v>0.99199999999999999</v>
      </c>
      <c r="X112">
        <v>142</v>
      </c>
      <c r="Y112">
        <v>1.0529999999999999</v>
      </c>
      <c r="Z112">
        <v>156</v>
      </c>
      <c r="AA112">
        <v>1.0269999999999999</v>
      </c>
      <c r="AB112">
        <v>16</v>
      </c>
      <c r="AC112" s="21">
        <v>0.56299999999999994</v>
      </c>
      <c r="AD112" s="21">
        <v>0.53900000000000003</v>
      </c>
      <c r="AE112">
        <v>35</v>
      </c>
      <c r="AF112">
        <v>76</v>
      </c>
      <c r="AG112" s="21">
        <v>0.48599999999999999</v>
      </c>
      <c r="AH112">
        <v>327</v>
      </c>
      <c r="AI112">
        <v>16.331</v>
      </c>
      <c r="AJ112">
        <v>18</v>
      </c>
      <c r="AK112" s="21">
        <v>0.192</v>
      </c>
      <c r="AL112">
        <v>14</v>
      </c>
      <c r="AM112" s="21">
        <v>0.39900000000000002</v>
      </c>
      <c r="AN112">
        <v>96</v>
      </c>
      <c r="AO112" s="21">
        <v>0.35299999999999998</v>
      </c>
      <c r="AP112">
        <v>133</v>
      </c>
      <c r="AQ112" s="21">
        <v>0.33200000000000002</v>
      </c>
      <c r="AR112">
        <v>336</v>
      </c>
      <c r="AS112" s="21">
        <v>0.215</v>
      </c>
      <c r="AT112">
        <v>128</v>
      </c>
      <c r="AU112" s="21">
        <v>0.73299999999999998</v>
      </c>
      <c r="AV112">
        <v>206</v>
      </c>
      <c r="AW112">
        <v>69.7</v>
      </c>
      <c r="AX112">
        <v>286</v>
      </c>
      <c r="AY112" s="21">
        <v>0.182</v>
      </c>
      <c r="AZ112">
        <v>334</v>
      </c>
      <c r="BA112" s="21">
        <v>0.14099999999999999</v>
      </c>
    </row>
    <row r="113" spans="1:53" x14ac:dyDescent="0.25">
      <c r="A113" s="1" t="s">
        <v>218</v>
      </c>
      <c r="B113">
        <v>112</v>
      </c>
      <c r="C113">
        <v>3.9</v>
      </c>
      <c r="D113">
        <v>150</v>
      </c>
      <c r="E113">
        <v>1.4</v>
      </c>
      <c r="F113">
        <v>84</v>
      </c>
      <c r="G113">
        <v>5.2</v>
      </c>
      <c r="H113">
        <v>95</v>
      </c>
      <c r="I113">
        <v>0.9</v>
      </c>
      <c r="J113">
        <v>250</v>
      </c>
      <c r="K113">
        <v>-0.9</v>
      </c>
      <c r="L113">
        <v>10</v>
      </c>
      <c r="M113">
        <v>7.9</v>
      </c>
      <c r="N113">
        <v>317</v>
      </c>
      <c r="O113">
        <v>0.90300000000000002</v>
      </c>
      <c r="P113">
        <v>123</v>
      </c>
      <c r="Q113">
        <v>1.04</v>
      </c>
      <c r="R113">
        <v>304</v>
      </c>
      <c r="S113">
        <v>0.3</v>
      </c>
      <c r="T113">
        <v>35</v>
      </c>
      <c r="U113">
        <v>0.995</v>
      </c>
      <c r="V113">
        <v>164</v>
      </c>
      <c r="W113">
        <v>0.95399999999999996</v>
      </c>
      <c r="X113">
        <v>143</v>
      </c>
      <c r="Y113">
        <v>1.0529999999999999</v>
      </c>
      <c r="Z113">
        <v>266</v>
      </c>
      <c r="AA113">
        <v>1.069</v>
      </c>
      <c r="AB113">
        <v>307</v>
      </c>
      <c r="AC113" s="21">
        <v>0.47799999999999998</v>
      </c>
      <c r="AD113" s="21">
        <v>0.45900000000000002</v>
      </c>
      <c r="AE113">
        <v>328</v>
      </c>
      <c r="AF113">
        <v>279</v>
      </c>
      <c r="AG113" s="21">
        <v>0.53</v>
      </c>
      <c r="AH113">
        <v>15</v>
      </c>
      <c r="AI113">
        <v>24.477</v>
      </c>
      <c r="AJ113">
        <v>171</v>
      </c>
      <c r="AK113" s="21">
        <v>0.24199999999999999</v>
      </c>
      <c r="AL113">
        <v>259</v>
      </c>
      <c r="AM113" s="21">
        <v>0.28599999999999998</v>
      </c>
      <c r="AN113">
        <v>293</v>
      </c>
      <c r="AO113" s="21">
        <v>0.315</v>
      </c>
      <c r="AP113">
        <v>350</v>
      </c>
      <c r="AQ113" s="21">
        <v>0.376</v>
      </c>
      <c r="AR113">
        <v>65</v>
      </c>
      <c r="AS113" s="21">
        <v>0.32200000000000001</v>
      </c>
      <c r="AT113">
        <v>131</v>
      </c>
      <c r="AU113" s="21">
        <v>0.73299999999999998</v>
      </c>
      <c r="AV113">
        <v>96</v>
      </c>
      <c r="AW113">
        <v>71.8</v>
      </c>
      <c r="AX113">
        <v>138</v>
      </c>
      <c r="AY113" s="21">
        <v>0.16200000000000001</v>
      </c>
      <c r="AZ113">
        <v>246</v>
      </c>
      <c r="BA113" s="21">
        <v>0.158</v>
      </c>
    </row>
    <row r="114" spans="1:53" x14ac:dyDescent="0.25">
      <c r="A114" s="1" t="s">
        <v>539</v>
      </c>
      <c r="B114">
        <v>113</v>
      </c>
      <c r="C114">
        <v>3.8</v>
      </c>
      <c r="D114">
        <v>120</v>
      </c>
      <c r="E114">
        <v>4.3</v>
      </c>
      <c r="F114">
        <v>197</v>
      </c>
      <c r="G114">
        <v>-2.9</v>
      </c>
      <c r="H114">
        <v>228</v>
      </c>
      <c r="I114">
        <v>-3.6</v>
      </c>
      <c r="J114">
        <v>51</v>
      </c>
      <c r="K114">
        <v>2</v>
      </c>
      <c r="L114">
        <v>146</v>
      </c>
      <c r="M114">
        <v>10</v>
      </c>
      <c r="N114">
        <v>59</v>
      </c>
      <c r="O114">
        <v>1.36</v>
      </c>
      <c r="P114">
        <v>120</v>
      </c>
      <c r="Q114">
        <v>1.032</v>
      </c>
      <c r="R114">
        <v>77</v>
      </c>
      <c r="S114">
        <v>0.625</v>
      </c>
      <c r="T114">
        <v>31</v>
      </c>
      <c r="U114">
        <v>0.997</v>
      </c>
      <c r="V114">
        <v>136</v>
      </c>
      <c r="W114">
        <v>0.95</v>
      </c>
      <c r="X114">
        <v>36</v>
      </c>
      <c r="Y114">
        <v>1.1200000000000001</v>
      </c>
      <c r="Z114">
        <v>143</v>
      </c>
      <c r="AA114">
        <v>1.02</v>
      </c>
      <c r="AB114">
        <v>106</v>
      </c>
      <c r="AC114" s="21">
        <v>0.52200000000000002</v>
      </c>
      <c r="AD114" s="21">
        <v>0.51600000000000001</v>
      </c>
      <c r="AE114">
        <v>80</v>
      </c>
      <c r="AF114">
        <v>182</v>
      </c>
      <c r="AG114" s="21">
        <v>0.50900000000000001</v>
      </c>
      <c r="AH114">
        <v>22</v>
      </c>
      <c r="AI114">
        <v>23.974</v>
      </c>
      <c r="AJ114">
        <v>107</v>
      </c>
      <c r="AK114" s="21">
        <v>0.22500000000000001</v>
      </c>
      <c r="AL114">
        <v>304</v>
      </c>
      <c r="AM114" s="21">
        <v>0.27</v>
      </c>
      <c r="AN114">
        <v>212</v>
      </c>
      <c r="AO114" s="21">
        <v>0.33</v>
      </c>
      <c r="AP114">
        <v>214</v>
      </c>
      <c r="AQ114" s="21">
        <v>0.34399999999999997</v>
      </c>
      <c r="AR114">
        <v>17</v>
      </c>
      <c r="AS114" s="21">
        <v>0.34599999999999997</v>
      </c>
      <c r="AT114">
        <v>70</v>
      </c>
      <c r="AU114" s="21">
        <v>0.746</v>
      </c>
      <c r="AV114">
        <v>261</v>
      </c>
      <c r="AW114">
        <v>68.599999999999994</v>
      </c>
      <c r="AX114">
        <v>93</v>
      </c>
      <c r="AY114" s="21">
        <v>0.156</v>
      </c>
      <c r="AZ114">
        <v>161</v>
      </c>
      <c r="BA114" s="21">
        <v>0.17</v>
      </c>
    </row>
    <row r="115" spans="1:53" x14ac:dyDescent="0.25">
      <c r="A115" s="1" t="s">
        <v>451</v>
      </c>
      <c r="B115">
        <v>114</v>
      </c>
      <c r="C115">
        <v>3.7</v>
      </c>
      <c r="D115">
        <v>215</v>
      </c>
      <c r="E115">
        <v>-1.2</v>
      </c>
      <c r="F115">
        <v>156</v>
      </c>
      <c r="G115">
        <v>-1.2</v>
      </c>
      <c r="H115">
        <v>137</v>
      </c>
      <c r="I115">
        <v>-0.9</v>
      </c>
      <c r="J115">
        <v>28</v>
      </c>
      <c r="K115">
        <v>2.6</v>
      </c>
      <c r="L115">
        <v>172</v>
      </c>
      <c r="M115">
        <v>10.199999999999999</v>
      </c>
      <c r="N115">
        <v>110</v>
      </c>
      <c r="O115">
        <v>1.2470000000000001</v>
      </c>
      <c r="P115">
        <v>114</v>
      </c>
      <c r="Q115">
        <v>1.022</v>
      </c>
      <c r="R115">
        <v>2</v>
      </c>
      <c r="S115">
        <v>0.9</v>
      </c>
      <c r="T115">
        <v>166</v>
      </c>
      <c r="U115">
        <v>0.95799999999999996</v>
      </c>
      <c r="V115">
        <v>123</v>
      </c>
      <c r="W115">
        <v>0.94799999999999995</v>
      </c>
      <c r="X115">
        <v>156</v>
      </c>
      <c r="Y115">
        <v>1.0449999999999999</v>
      </c>
      <c r="Z115">
        <v>24</v>
      </c>
      <c r="AA115">
        <v>0.96499999999999997</v>
      </c>
      <c r="AB115">
        <v>173</v>
      </c>
      <c r="AC115" s="21">
        <v>0.50800000000000001</v>
      </c>
      <c r="AD115" s="21">
        <v>0.48499999999999999</v>
      </c>
      <c r="AE115">
        <v>232</v>
      </c>
      <c r="AF115">
        <v>34</v>
      </c>
      <c r="AG115" s="21">
        <v>0.47399999999999998</v>
      </c>
      <c r="AH115">
        <v>36</v>
      </c>
      <c r="AI115">
        <v>23.134</v>
      </c>
      <c r="AJ115">
        <v>146</v>
      </c>
      <c r="AK115" s="21">
        <v>0.23499999999999999</v>
      </c>
      <c r="AL115">
        <v>351</v>
      </c>
      <c r="AM115" s="21">
        <v>0.23599999999999999</v>
      </c>
      <c r="AN115">
        <v>213</v>
      </c>
      <c r="AO115" s="21">
        <v>0.33</v>
      </c>
      <c r="AP115">
        <v>184</v>
      </c>
      <c r="AQ115" s="21">
        <v>0.33800000000000002</v>
      </c>
      <c r="AR115">
        <v>135</v>
      </c>
      <c r="AS115" s="21">
        <v>0.29099999999999998</v>
      </c>
      <c r="AT115">
        <v>33</v>
      </c>
      <c r="AU115" s="21">
        <v>0.76100000000000001</v>
      </c>
      <c r="AV115">
        <v>131</v>
      </c>
      <c r="AW115">
        <v>71.099999999999994</v>
      </c>
      <c r="AX115">
        <v>187</v>
      </c>
      <c r="AY115" s="21">
        <v>0.16900000000000001</v>
      </c>
      <c r="AZ115">
        <v>190</v>
      </c>
      <c r="BA115" s="21">
        <v>0.16500000000000001</v>
      </c>
    </row>
    <row r="116" spans="1:53" x14ac:dyDescent="0.25">
      <c r="A116" s="1" t="s">
        <v>76</v>
      </c>
      <c r="B116">
        <v>115</v>
      </c>
      <c r="C116">
        <v>3.5</v>
      </c>
      <c r="D116">
        <v>335</v>
      </c>
      <c r="E116">
        <v>-14.9</v>
      </c>
      <c r="F116">
        <v>157</v>
      </c>
      <c r="G116">
        <v>-1.3</v>
      </c>
      <c r="H116">
        <v>124</v>
      </c>
      <c r="I116">
        <v>-0.6</v>
      </c>
      <c r="J116">
        <v>163</v>
      </c>
      <c r="K116">
        <v>0.3</v>
      </c>
      <c r="L116">
        <v>34</v>
      </c>
      <c r="M116">
        <v>8.5</v>
      </c>
      <c r="N116">
        <v>122</v>
      </c>
      <c r="O116">
        <v>1.228</v>
      </c>
      <c r="P116">
        <v>70</v>
      </c>
      <c r="Q116">
        <v>0.97199999999999998</v>
      </c>
      <c r="R116">
        <v>116</v>
      </c>
      <c r="S116">
        <v>0.57099999999999995</v>
      </c>
      <c r="T116">
        <v>141</v>
      </c>
      <c r="U116">
        <v>0.96299999999999997</v>
      </c>
      <c r="V116">
        <v>23</v>
      </c>
      <c r="W116">
        <v>0.91700000000000004</v>
      </c>
      <c r="X116">
        <v>45</v>
      </c>
      <c r="Y116">
        <v>1.107</v>
      </c>
      <c r="Z116">
        <v>173</v>
      </c>
      <c r="AA116">
        <v>1.034</v>
      </c>
      <c r="AB116">
        <v>44</v>
      </c>
      <c r="AC116" s="21">
        <v>0.54600000000000004</v>
      </c>
      <c r="AD116" s="21">
        <v>0.54900000000000004</v>
      </c>
      <c r="AE116">
        <v>19</v>
      </c>
      <c r="AF116">
        <v>291</v>
      </c>
      <c r="AG116" s="21">
        <v>0.53200000000000003</v>
      </c>
      <c r="AH116">
        <v>269</v>
      </c>
      <c r="AI116">
        <v>17.916</v>
      </c>
      <c r="AJ116">
        <v>320</v>
      </c>
      <c r="AK116" s="21">
        <v>0.28199999999999997</v>
      </c>
      <c r="AL116">
        <v>17</v>
      </c>
      <c r="AM116" s="21">
        <v>0.39700000000000002</v>
      </c>
      <c r="AN116">
        <v>38</v>
      </c>
      <c r="AO116" s="21">
        <v>0.36899999999999999</v>
      </c>
      <c r="AP116">
        <v>252</v>
      </c>
      <c r="AQ116" s="21">
        <v>0.35</v>
      </c>
      <c r="AR116">
        <v>72</v>
      </c>
      <c r="AS116" s="21">
        <v>0.32</v>
      </c>
      <c r="AT116">
        <v>325</v>
      </c>
      <c r="AU116" s="21">
        <v>0.68600000000000005</v>
      </c>
      <c r="AV116">
        <v>21</v>
      </c>
      <c r="AW116">
        <v>74.099999999999994</v>
      </c>
      <c r="AX116">
        <v>253</v>
      </c>
      <c r="AY116" s="21">
        <v>0.17799999999999999</v>
      </c>
      <c r="AZ116">
        <v>15</v>
      </c>
      <c r="BA116" s="21">
        <v>0.21199999999999999</v>
      </c>
    </row>
    <row r="117" spans="1:53" x14ac:dyDescent="0.25">
      <c r="A117" s="1" t="s">
        <v>540</v>
      </c>
      <c r="B117">
        <v>116</v>
      </c>
      <c r="C117">
        <v>3.4</v>
      </c>
      <c r="D117">
        <v>97</v>
      </c>
      <c r="E117">
        <v>6.6</v>
      </c>
      <c r="F117">
        <v>94</v>
      </c>
      <c r="G117">
        <v>2.8</v>
      </c>
      <c r="H117">
        <v>74</v>
      </c>
      <c r="I117">
        <v>2.2000000000000002</v>
      </c>
      <c r="J117">
        <v>66</v>
      </c>
      <c r="K117">
        <v>1.7</v>
      </c>
      <c r="L117">
        <v>237</v>
      </c>
      <c r="M117">
        <v>10.7</v>
      </c>
      <c r="N117">
        <v>166</v>
      </c>
      <c r="O117">
        <v>1.153</v>
      </c>
      <c r="P117">
        <v>179</v>
      </c>
      <c r="Q117">
        <v>1.133</v>
      </c>
      <c r="R117">
        <v>158</v>
      </c>
      <c r="S117">
        <v>0.5</v>
      </c>
      <c r="T117">
        <v>335</v>
      </c>
      <c r="U117">
        <v>0.91500000000000004</v>
      </c>
      <c r="V117">
        <v>259</v>
      </c>
      <c r="W117">
        <v>0.96899999999999997</v>
      </c>
      <c r="X117">
        <v>98</v>
      </c>
      <c r="Y117">
        <v>1.071</v>
      </c>
      <c r="Z117">
        <v>252</v>
      </c>
      <c r="AA117">
        <v>1.0640000000000001</v>
      </c>
      <c r="AB117">
        <v>10</v>
      </c>
      <c r="AC117" s="21">
        <v>0.56699999999999995</v>
      </c>
      <c r="AD117" s="21">
        <v>0.54900000000000004</v>
      </c>
      <c r="AE117">
        <v>19</v>
      </c>
      <c r="AF117">
        <v>204</v>
      </c>
      <c r="AG117" s="21">
        <v>0.51300000000000001</v>
      </c>
      <c r="AH117">
        <v>275</v>
      </c>
      <c r="AI117">
        <v>17.823</v>
      </c>
      <c r="AJ117">
        <v>173</v>
      </c>
      <c r="AK117" s="21">
        <v>0.24199999999999999</v>
      </c>
      <c r="AL117">
        <v>117</v>
      </c>
      <c r="AM117" s="21">
        <v>0.33400000000000002</v>
      </c>
      <c r="AN117">
        <v>56</v>
      </c>
      <c r="AO117" s="21">
        <v>0.36499999999999999</v>
      </c>
      <c r="AP117">
        <v>165</v>
      </c>
      <c r="AQ117" s="21">
        <v>0.33500000000000002</v>
      </c>
      <c r="AR117">
        <v>132</v>
      </c>
      <c r="AS117" s="21">
        <v>0.29199999999999998</v>
      </c>
      <c r="AT117">
        <v>311</v>
      </c>
      <c r="AU117" s="21">
        <v>0.69199999999999995</v>
      </c>
      <c r="AV117">
        <v>34</v>
      </c>
      <c r="AW117">
        <v>73.599999999999994</v>
      </c>
      <c r="AX117">
        <v>339</v>
      </c>
      <c r="AY117" s="21">
        <v>0.19900000000000001</v>
      </c>
      <c r="AZ117">
        <v>181</v>
      </c>
      <c r="BA117" s="21">
        <v>0.16700000000000001</v>
      </c>
    </row>
    <row r="118" spans="1:53" x14ac:dyDescent="0.25">
      <c r="A118" s="1" t="s">
        <v>541</v>
      </c>
      <c r="B118">
        <v>117</v>
      </c>
      <c r="C118">
        <v>3.3</v>
      </c>
      <c r="D118">
        <v>157</v>
      </c>
      <c r="E118">
        <v>0.9</v>
      </c>
      <c r="F118">
        <v>134</v>
      </c>
      <c r="G118">
        <v>-0.4</v>
      </c>
      <c r="H118">
        <v>303</v>
      </c>
      <c r="I118">
        <v>-6</v>
      </c>
      <c r="J118">
        <v>182</v>
      </c>
      <c r="K118">
        <v>0</v>
      </c>
      <c r="L118">
        <v>147</v>
      </c>
      <c r="M118">
        <v>10</v>
      </c>
      <c r="N118">
        <v>191</v>
      </c>
      <c r="O118">
        <v>1.111</v>
      </c>
      <c r="P118">
        <v>76</v>
      </c>
      <c r="Q118">
        <v>0.98299999999999998</v>
      </c>
      <c r="R118">
        <v>326</v>
      </c>
      <c r="S118">
        <v>0.25</v>
      </c>
      <c r="T118">
        <v>213</v>
      </c>
      <c r="U118">
        <v>0.94899999999999995</v>
      </c>
      <c r="V118">
        <v>191</v>
      </c>
      <c r="W118">
        <v>0.95799999999999996</v>
      </c>
      <c r="X118">
        <v>154</v>
      </c>
      <c r="Y118">
        <v>1.0449999999999999</v>
      </c>
      <c r="Z118">
        <v>44</v>
      </c>
      <c r="AA118">
        <v>0.97699999999999998</v>
      </c>
      <c r="AB118">
        <v>187</v>
      </c>
      <c r="AC118" s="21">
        <v>0.50600000000000001</v>
      </c>
      <c r="AD118" s="21">
        <v>0.48399999999999999</v>
      </c>
      <c r="AE118">
        <v>241</v>
      </c>
      <c r="AF118">
        <v>66</v>
      </c>
      <c r="AG118" s="21">
        <v>0.48399999999999999</v>
      </c>
      <c r="AH118">
        <v>38</v>
      </c>
      <c r="AI118">
        <v>23.036999999999999</v>
      </c>
      <c r="AJ118">
        <v>22</v>
      </c>
      <c r="AK118" s="21">
        <v>0.19600000000000001</v>
      </c>
      <c r="AL118">
        <v>216</v>
      </c>
      <c r="AM118" s="21">
        <v>0.30299999999999999</v>
      </c>
      <c r="AN118">
        <v>300</v>
      </c>
      <c r="AO118" s="21">
        <v>0.313</v>
      </c>
      <c r="AP118">
        <v>61</v>
      </c>
      <c r="AQ118" s="21">
        <v>0.316</v>
      </c>
      <c r="AR118">
        <v>150</v>
      </c>
      <c r="AS118" s="21">
        <v>0.28699999999999998</v>
      </c>
      <c r="AT118">
        <v>328</v>
      </c>
      <c r="AU118" s="21">
        <v>0.68500000000000005</v>
      </c>
      <c r="AV118">
        <v>212</v>
      </c>
      <c r="AW118">
        <v>69.599999999999994</v>
      </c>
      <c r="AX118">
        <v>254</v>
      </c>
      <c r="AY118" s="21">
        <v>0.17799999999999999</v>
      </c>
      <c r="AZ118">
        <v>62</v>
      </c>
      <c r="BA118" s="21">
        <v>0.19</v>
      </c>
    </row>
    <row r="119" spans="1:53" x14ac:dyDescent="0.25">
      <c r="A119" s="1" t="s">
        <v>31</v>
      </c>
      <c r="B119">
        <v>118</v>
      </c>
      <c r="C119">
        <v>3.2</v>
      </c>
      <c r="D119">
        <v>90</v>
      </c>
      <c r="E119">
        <v>7.7</v>
      </c>
      <c r="F119">
        <v>165</v>
      </c>
      <c r="G119">
        <v>-1.7</v>
      </c>
      <c r="H119">
        <v>184</v>
      </c>
      <c r="I119">
        <v>-2.5</v>
      </c>
      <c r="J119">
        <v>289</v>
      </c>
      <c r="K119">
        <v>-1.6</v>
      </c>
      <c r="L119">
        <v>325</v>
      </c>
      <c r="M119">
        <v>11.8</v>
      </c>
      <c r="N119">
        <v>26</v>
      </c>
      <c r="O119">
        <v>1.494</v>
      </c>
      <c r="P119">
        <v>317</v>
      </c>
      <c r="Q119">
        <v>1.383</v>
      </c>
      <c r="R119">
        <v>279</v>
      </c>
      <c r="S119">
        <v>0.33300000000000002</v>
      </c>
      <c r="T119">
        <v>280</v>
      </c>
      <c r="U119">
        <v>0.93300000000000005</v>
      </c>
      <c r="V119">
        <v>228</v>
      </c>
      <c r="W119">
        <v>0.96399999999999997</v>
      </c>
      <c r="X119">
        <v>18</v>
      </c>
      <c r="Y119">
        <v>1.133</v>
      </c>
      <c r="Z119">
        <v>265</v>
      </c>
      <c r="AA119">
        <v>1.069</v>
      </c>
      <c r="AB119">
        <v>1</v>
      </c>
      <c r="AC119" s="21">
        <v>0.58699999999999997</v>
      </c>
      <c r="AD119" s="21">
        <v>0.57199999999999995</v>
      </c>
      <c r="AE119">
        <v>4</v>
      </c>
      <c r="AF119">
        <v>246</v>
      </c>
      <c r="AG119" s="21">
        <v>0.52200000000000002</v>
      </c>
      <c r="AH119">
        <v>277</v>
      </c>
      <c r="AI119">
        <v>17.760000000000002</v>
      </c>
      <c r="AJ119">
        <v>158</v>
      </c>
      <c r="AK119" s="21">
        <v>0.23799999999999999</v>
      </c>
      <c r="AL119">
        <v>20</v>
      </c>
      <c r="AM119" s="21">
        <v>0.39200000000000002</v>
      </c>
      <c r="AN119">
        <v>26</v>
      </c>
      <c r="AO119" s="21">
        <v>0.374</v>
      </c>
      <c r="AP119">
        <v>234</v>
      </c>
      <c r="AQ119" s="21">
        <v>0.34699999999999998</v>
      </c>
      <c r="AR119">
        <v>287</v>
      </c>
      <c r="AS119" s="21">
        <v>0.24</v>
      </c>
      <c r="AT119">
        <v>91</v>
      </c>
      <c r="AU119" s="21">
        <v>0.74199999999999999</v>
      </c>
      <c r="AV119">
        <v>35</v>
      </c>
      <c r="AW119">
        <v>73.599999999999994</v>
      </c>
      <c r="AX119">
        <v>157</v>
      </c>
      <c r="AY119" s="21">
        <v>0.16400000000000001</v>
      </c>
      <c r="AZ119">
        <v>303</v>
      </c>
      <c r="BA119" s="21">
        <v>0.15</v>
      </c>
    </row>
    <row r="120" spans="1:53" x14ac:dyDescent="0.25">
      <c r="A120" s="1" t="s">
        <v>46</v>
      </c>
      <c r="B120">
        <v>119</v>
      </c>
      <c r="C120">
        <v>2.6</v>
      </c>
      <c r="D120">
        <v>113</v>
      </c>
      <c r="E120">
        <v>4.7</v>
      </c>
      <c r="F120">
        <v>163</v>
      </c>
      <c r="G120">
        <v>-1.6</v>
      </c>
      <c r="H120">
        <v>138</v>
      </c>
      <c r="I120">
        <v>-0.9</v>
      </c>
      <c r="J120">
        <v>36</v>
      </c>
      <c r="K120">
        <v>2.4</v>
      </c>
      <c r="L120">
        <v>158</v>
      </c>
      <c r="M120">
        <v>10.1</v>
      </c>
      <c r="N120">
        <v>9</v>
      </c>
      <c r="O120">
        <v>1.5920000000000001</v>
      </c>
      <c r="P120">
        <v>189</v>
      </c>
      <c r="Q120">
        <v>1.1459999999999999</v>
      </c>
      <c r="R120">
        <v>130</v>
      </c>
      <c r="S120">
        <v>0.55600000000000005</v>
      </c>
      <c r="T120">
        <v>236</v>
      </c>
      <c r="U120">
        <v>0.94399999999999995</v>
      </c>
      <c r="V120">
        <v>243</v>
      </c>
      <c r="W120">
        <v>0.96699999999999997</v>
      </c>
      <c r="X120">
        <v>31</v>
      </c>
      <c r="Y120">
        <v>1.1259999999999999</v>
      </c>
      <c r="Z120">
        <v>215</v>
      </c>
      <c r="AA120">
        <v>1.0509999999999999</v>
      </c>
      <c r="AB120">
        <v>11</v>
      </c>
      <c r="AC120" s="21">
        <v>0.56499999999999995</v>
      </c>
      <c r="AD120" s="21">
        <v>0.54900000000000004</v>
      </c>
      <c r="AE120">
        <v>19</v>
      </c>
      <c r="AF120">
        <v>201</v>
      </c>
      <c r="AG120" s="21">
        <v>0.51200000000000001</v>
      </c>
      <c r="AH120">
        <v>167</v>
      </c>
      <c r="AI120">
        <v>19.861999999999998</v>
      </c>
      <c r="AJ120">
        <v>215</v>
      </c>
      <c r="AK120" s="21">
        <v>0.25</v>
      </c>
      <c r="AL120">
        <v>61</v>
      </c>
      <c r="AM120" s="21">
        <v>0.36499999999999999</v>
      </c>
      <c r="AN120">
        <v>39</v>
      </c>
      <c r="AO120" s="21">
        <v>0.36799999999999999</v>
      </c>
      <c r="AP120">
        <v>275</v>
      </c>
      <c r="AQ120" s="21">
        <v>0.35399999999999998</v>
      </c>
      <c r="AR120">
        <v>305</v>
      </c>
      <c r="AS120" s="21">
        <v>0.23400000000000001</v>
      </c>
      <c r="AT120">
        <v>184</v>
      </c>
      <c r="AU120" s="21">
        <v>0.72399999999999998</v>
      </c>
      <c r="AV120">
        <v>209</v>
      </c>
      <c r="AW120">
        <v>69.7</v>
      </c>
      <c r="AX120">
        <v>55</v>
      </c>
      <c r="AY120" s="21">
        <v>0.151</v>
      </c>
      <c r="AZ120">
        <v>242</v>
      </c>
      <c r="BA120" s="21">
        <v>0.159</v>
      </c>
    </row>
    <row r="121" spans="1:53" x14ac:dyDescent="0.25">
      <c r="A121" s="1" t="s">
        <v>542</v>
      </c>
      <c r="B121">
        <v>120</v>
      </c>
      <c r="C121">
        <v>2.5</v>
      </c>
      <c r="D121">
        <v>266</v>
      </c>
      <c r="E121">
        <v>-5</v>
      </c>
      <c r="F121">
        <v>85</v>
      </c>
      <c r="G121">
        <v>5</v>
      </c>
      <c r="H121">
        <v>100</v>
      </c>
      <c r="I121">
        <v>0.5</v>
      </c>
      <c r="J121">
        <v>181</v>
      </c>
      <c r="K121">
        <v>0</v>
      </c>
      <c r="L121">
        <v>102</v>
      </c>
      <c r="M121">
        <v>9.6</v>
      </c>
      <c r="N121">
        <v>295</v>
      </c>
      <c r="O121">
        <v>0.94</v>
      </c>
      <c r="P121">
        <v>297</v>
      </c>
      <c r="Q121">
        <v>1.3180000000000001</v>
      </c>
      <c r="R121">
        <v>77</v>
      </c>
      <c r="S121">
        <v>0.625</v>
      </c>
      <c r="T121">
        <v>315</v>
      </c>
      <c r="U121">
        <v>0.92700000000000005</v>
      </c>
      <c r="V121">
        <v>200</v>
      </c>
      <c r="W121">
        <v>0.95899999999999996</v>
      </c>
      <c r="X121">
        <v>243</v>
      </c>
      <c r="Y121">
        <v>1.01</v>
      </c>
      <c r="Z121">
        <v>263</v>
      </c>
      <c r="AA121">
        <v>1.0680000000000001</v>
      </c>
      <c r="AB121">
        <v>148</v>
      </c>
      <c r="AC121" s="21">
        <v>0.51200000000000001</v>
      </c>
      <c r="AD121" s="21">
        <v>0.49099999999999999</v>
      </c>
      <c r="AE121">
        <v>200</v>
      </c>
      <c r="AF121">
        <v>251</v>
      </c>
      <c r="AG121" s="21">
        <v>0.52300000000000002</v>
      </c>
      <c r="AH121">
        <v>274</v>
      </c>
      <c r="AI121">
        <v>17.844000000000001</v>
      </c>
      <c r="AJ121">
        <v>153</v>
      </c>
      <c r="AK121" s="21">
        <v>0.23699999999999999</v>
      </c>
      <c r="AL121">
        <v>105</v>
      </c>
      <c r="AM121" s="21">
        <v>0.34200000000000003</v>
      </c>
      <c r="AN121">
        <v>107</v>
      </c>
      <c r="AO121" s="21">
        <v>0.35</v>
      </c>
      <c r="AP121">
        <v>103</v>
      </c>
      <c r="AQ121" s="21">
        <v>0.32600000000000001</v>
      </c>
      <c r="AR121">
        <v>158</v>
      </c>
      <c r="AS121" s="21">
        <v>0.28399999999999997</v>
      </c>
      <c r="AT121">
        <v>141</v>
      </c>
      <c r="AU121" s="21">
        <v>0.73099999999999998</v>
      </c>
      <c r="AV121">
        <v>266</v>
      </c>
      <c r="AW121">
        <v>68.5</v>
      </c>
      <c r="AX121">
        <v>336</v>
      </c>
      <c r="AY121" s="21">
        <v>0.19600000000000001</v>
      </c>
      <c r="AZ121">
        <v>248</v>
      </c>
      <c r="BA121" s="21">
        <v>0.158</v>
      </c>
    </row>
    <row r="122" spans="1:53" x14ac:dyDescent="0.25">
      <c r="A122" s="1" t="s">
        <v>138</v>
      </c>
      <c r="B122">
        <v>121</v>
      </c>
      <c r="C122">
        <v>2.5</v>
      </c>
      <c r="D122">
        <v>158</v>
      </c>
      <c r="E122">
        <v>0.9</v>
      </c>
      <c r="F122">
        <v>225</v>
      </c>
      <c r="G122">
        <v>-3.4</v>
      </c>
      <c r="H122">
        <v>126</v>
      </c>
      <c r="I122">
        <v>-0.7</v>
      </c>
      <c r="J122">
        <v>269</v>
      </c>
      <c r="K122">
        <v>-1.2</v>
      </c>
      <c r="L122">
        <v>111</v>
      </c>
      <c r="M122">
        <v>9.6</v>
      </c>
      <c r="N122">
        <v>151</v>
      </c>
      <c r="O122">
        <v>1.1779999999999999</v>
      </c>
      <c r="P122">
        <v>54</v>
      </c>
      <c r="Q122">
        <v>0.95099999999999996</v>
      </c>
      <c r="R122">
        <v>271</v>
      </c>
      <c r="S122">
        <v>0.36399999999999999</v>
      </c>
      <c r="T122">
        <v>36</v>
      </c>
      <c r="U122">
        <v>0.995</v>
      </c>
      <c r="V122">
        <v>159</v>
      </c>
      <c r="W122">
        <v>0.95399999999999996</v>
      </c>
      <c r="X122">
        <v>113</v>
      </c>
      <c r="Y122">
        <v>1.0649999999999999</v>
      </c>
      <c r="Z122">
        <v>66</v>
      </c>
      <c r="AA122">
        <v>0.98799999999999999</v>
      </c>
      <c r="AB122">
        <v>165</v>
      </c>
      <c r="AC122" s="21">
        <v>0.51</v>
      </c>
      <c r="AD122" s="21">
        <v>0.497</v>
      </c>
      <c r="AE122">
        <v>168</v>
      </c>
      <c r="AF122">
        <v>44</v>
      </c>
      <c r="AG122" s="21">
        <v>0.47699999999999998</v>
      </c>
      <c r="AH122">
        <v>227</v>
      </c>
      <c r="AI122">
        <v>18.800999999999998</v>
      </c>
      <c r="AJ122">
        <v>117</v>
      </c>
      <c r="AK122" s="21">
        <v>0.22700000000000001</v>
      </c>
      <c r="AL122">
        <v>272</v>
      </c>
      <c r="AM122" s="21">
        <v>0.28100000000000003</v>
      </c>
      <c r="AN122">
        <v>198</v>
      </c>
      <c r="AO122" s="21">
        <v>0.33400000000000002</v>
      </c>
      <c r="AP122">
        <v>87</v>
      </c>
      <c r="AQ122" s="21">
        <v>0.32200000000000001</v>
      </c>
      <c r="AR122">
        <v>37</v>
      </c>
      <c r="AS122" s="21">
        <v>0.33300000000000002</v>
      </c>
      <c r="AT122">
        <v>55</v>
      </c>
      <c r="AU122" s="21">
        <v>0.752</v>
      </c>
      <c r="AV122">
        <v>7</v>
      </c>
      <c r="AW122">
        <v>75.5</v>
      </c>
      <c r="AX122">
        <v>131</v>
      </c>
      <c r="AY122" s="21">
        <v>0.161</v>
      </c>
      <c r="AZ122">
        <v>239</v>
      </c>
      <c r="BA122" s="21">
        <v>0.159</v>
      </c>
    </row>
    <row r="123" spans="1:53" x14ac:dyDescent="0.25">
      <c r="A123" s="1" t="s">
        <v>222</v>
      </c>
      <c r="B123">
        <v>122</v>
      </c>
      <c r="C123">
        <v>2.4</v>
      </c>
      <c r="D123">
        <v>93</v>
      </c>
      <c r="E123">
        <v>7</v>
      </c>
      <c r="F123">
        <v>104</v>
      </c>
      <c r="G123">
        <v>1.2</v>
      </c>
      <c r="H123">
        <v>103</v>
      </c>
      <c r="I123">
        <v>0.4</v>
      </c>
      <c r="J123">
        <v>111</v>
      </c>
      <c r="K123">
        <v>1</v>
      </c>
      <c r="L123">
        <v>332</v>
      </c>
      <c r="M123">
        <v>12</v>
      </c>
      <c r="N123">
        <v>226</v>
      </c>
      <c r="O123">
        <v>1.038</v>
      </c>
      <c r="P123">
        <v>274</v>
      </c>
      <c r="Q123">
        <v>1.2629999999999999</v>
      </c>
      <c r="R123">
        <v>72</v>
      </c>
      <c r="S123">
        <v>0.63600000000000001</v>
      </c>
      <c r="T123">
        <v>89</v>
      </c>
      <c r="U123">
        <v>0.97399999999999998</v>
      </c>
      <c r="V123">
        <v>246</v>
      </c>
      <c r="W123">
        <v>0.96699999999999997</v>
      </c>
      <c r="X123">
        <v>206</v>
      </c>
      <c r="Y123">
        <v>1.0249999999999999</v>
      </c>
      <c r="Z123">
        <v>117</v>
      </c>
      <c r="AA123">
        <v>1.014</v>
      </c>
      <c r="AB123">
        <v>280</v>
      </c>
      <c r="AC123" s="21">
        <v>0.48699999999999999</v>
      </c>
      <c r="AD123" s="21">
        <v>0.49099999999999999</v>
      </c>
      <c r="AE123">
        <v>200</v>
      </c>
      <c r="AF123">
        <v>132</v>
      </c>
      <c r="AG123" s="21">
        <v>0.499</v>
      </c>
      <c r="AH123">
        <v>101</v>
      </c>
      <c r="AI123">
        <v>21.286999999999999</v>
      </c>
      <c r="AJ123">
        <v>70</v>
      </c>
      <c r="AK123" s="21">
        <v>0.215</v>
      </c>
      <c r="AL123">
        <v>359</v>
      </c>
      <c r="AM123" s="21">
        <v>0.20899999999999999</v>
      </c>
      <c r="AN123">
        <v>341</v>
      </c>
      <c r="AO123" s="21">
        <v>0.30199999999999999</v>
      </c>
      <c r="AP123">
        <v>147</v>
      </c>
      <c r="AQ123" s="21">
        <v>0.33300000000000002</v>
      </c>
      <c r="AR123">
        <v>116</v>
      </c>
      <c r="AS123" s="21">
        <v>0.29799999999999999</v>
      </c>
      <c r="AT123">
        <v>79</v>
      </c>
      <c r="AU123" s="21">
        <v>0.745</v>
      </c>
      <c r="AV123">
        <v>107</v>
      </c>
      <c r="AW123">
        <v>71.599999999999994</v>
      </c>
      <c r="AX123">
        <v>125</v>
      </c>
      <c r="AY123" s="21">
        <v>0.159</v>
      </c>
      <c r="AZ123">
        <v>285</v>
      </c>
      <c r="BA123" s="21">
        <v>0.153</v>
      </c>
    </row>
    <row r="124" spans="1:53" x14ac:dyDescent="0.25">
      <c r="A124" s="1" t="s">
        <v>95</v>
      </c>
      <c r="B124">
        <v>123</v>
      </c>
      <c r="C124">
        <v>2.2999999999999998</v>
      </c>
      <c r="D124">
        <v>151</v>
      </c>
      <c r="E124">
        <v>1.3</v>
      </c>
      <c r="F124">
        <v>114</v>
      </c>
      <c r="G124">
        <v>0.5</v>
      </c>
      <c r="H124">
        <v>109</v>
      </c>
      <c r="I124">
        <v>0.2</v>
      </c>
      <c r="J124">
        <v>13</v>
      </c>
      <c r="K124">
        <v>3.2</v>
      </c>
      <c r="L124">
        <v>26</v>
      </c>
      <c r="M124">
        <v>8.4</v>
      </c>
      <c r="N124">
        <v>215</v>
      </c>
      <c r="O124">
        <v>1.0580000000000001</v>
      </c>
      <c r="P124">
        <v>178</v>
      </c>
      <c r="Q124">
        <v>1.131</v>
      </c>
      <c r="R124">
        <v>34</v>
      </c>
      <c r="S124">
        <v>0.73299999999999998</v>
      </c>
      <c r="T124">
        <v>100</v>
      </c>
      <c r="U124">
        <v>0.97</v>
      </c>
      <c r="V124">
        <v>240</v>
      </c>
      <c r="W124">
        <v>0.96599999999999997</v>
      </c>
      <c r="X124">
        <v>176</v>
      </c>
      <c r="Y124">
        <v>1.036</v>
      </c>
      <c r="Z124">
        <v>110</v>
      </c>
      <c r="AA124">
        <v>1.0109999999999999</v>
      </c>
      <c r="AB124">
        <v>175</v>
      </c>
      <c r="AC124" s="21">
        <v>0.50800000000000001</v>
      </c>
      <c r="AD124" s="21">
        <v>0.504</v>
      </c>
      <c r="AE124">
        <v>128</v>
      </c>
      <c r="AF124">
        <v>73</v>
      </c>
      <c r="AG124" s="21">
        <v>0.48499999999999999</v>
      </c>
      <c r="AH124">
        <v>251</v>
      </c>
      <c r="AI124">
        <v>18.376000000000001</v>
      </c>
      <c r="AJ124">
        <v>139</v>
      </c>
      <c r="AK124" s="21">
        <v>0.23300000000000001</v>
      </c>
      <c r="AL124">
        <v>209</v>
      </c>
      <c r="AM124" s="21">
        <v>0.30499999999999999</v>
      </c>
      <c r="AN124">
        <v>281</v>
      </c>
      <c r="AO124" s="21">
        <v>0.317</v>
      </c>
      <c r="AP124">
        <v>58</v>
      </c>
      <c r="AQ124" s="21">
        <v>0.316</v>
      </c>
      <c r="AR124">
        <v>141</v>
      </c>
      <c r="AS124" s="21">
        <v>0.28899999999999998</v>
      </c>
      <c r="AT124">
        <v>119</v>
      </c>
      <c r="AU124" s="21">
        <v>0.73499999999999999</v>
      </c>
      <c r="AV124">
        <v>97</v>
      </c>
      <c r="AW124">
        <v>71.8</v>
      </c>
      <c r="AX124">
        <v>140</v>
      </c>
      <c r="AY124" s="21">
        <v>0.16200000000000001</v>
      </c>
      <c r="AZ124">
        <v>252</v>
      </c>
      <c r="BA124" s="21">
        <v>0.157</v>
      </c>
    </row>
    <row r="125" spans="1:53" x14ac:dyDescent="0.25">
      <c r="A125" s="1" t="s">
        <v>246</v>
      </c>
      <c r="B125">
        <v>124</v>
      </c>
      <c r="C125">
        <v>2.2999999999999998</v>
      </c>
      <c r="D125">
        <v>203</v>
      </c>
      <c r="E125">
        <v>-0.2</v>
      </c>
      <c r="F125">
        <v>102</v>
      </c>
      <c r="G125">
        <v>1.3</v>
      </c>
      <c r="H125">
        <v>167</v>
      </c>
      <c r="I125">
        <v>-1.9</v>
      </c>
      <c r="J125">
        <v>360</v>
      </c>
      <c r="K125">
        <v>-4.2</v>
      </c>
      <c r="L125">
        <v>257</v>
      </c>
      <c r="M125">
        <v>11</v>
      </c>
      <c r="N125">
        <v>194</v>
      </c>
      <c r="O125">
        <v>1.107</v>
      </c>
      <c r="P125">
        <v>50</v>
      </c>
      <c r="Q125">
        <v>0.93600000000000005</v>
      </c>
      <c r="R125">
        <v>343</v>
      </c>
      <c r="S125">
        <v>0.16700000000000001</v>
      </c>
      <c r="T125">
        <v>85</v>
      </c>
      <c r="U125">
        <v>0.97499999999999998</v>
      </c>
      <c r="V125">
        <v>39</v>
      </c>
      <c r="W125">
        <v>0.92500000000000004</v>
      </c>
      <c r="X125">
        <v>235</v>
      </c>
      <c r="Y125">
        <v>1.0129999999999999</v>
      </c>
      <c r="Z125">
        <v>104</v>
      </c>
      <c r="AA125">
        <v>1.0089999999999999</v>
      </c>
      <c r="AB125">
        <v>225</v>
      </c>
      <c r="AC125" s="21">
        <v>0.5</v>
      </c>
      <c r="AD125" s="21">
        <v>0.502</v>
      </c>
      <c r="AE125">
        <v>141</v>
      </c>
      <c r="AF125">
        <v>142</v>
      </c>
      <c r="AG125" s="21">
        <v>0.502</v>
      </c>
      <c r="AH125">
        <v>321</v>
      </c>
      <c r="AI125">
        <v>16.446000000000002</v>
      </c>
      <c r="AJ125">
        <v>309</v>
      </c>
      <c r="AK125" s="21">
        <v>0.27600000000000002</v>
      </c>
      <c r="AL125">
        <v>55</v>
      </c>
      <c r="AM125" s="21">
        <v>0.37</v>
      </c>
      <c r="AN125">
        <v>171</v>
      </c>
      <c r="AO125" s="21">
        <v>0.34</v>
      </c>
      <c r="AP125">
        <v>303</v>
      </c>
      <c r="AQ125" s="21">
        <v>0.35899999999999999</v>
      </c>
      <c r="AR125">
        <v>69</v>
      </c>
      <c r="AS125" s="21">
        <v>0.32100000000000001</v>
      </c>
      <c r="AT125">
        <v>190</v>
      </c>
      <c r="AU125" s="21">
        <v>0.72199999999999998</v>
      </c>
      <c r="AV125">
        <v>312</v>
      </c>
      <c r="AW125">
        <v>67.5</v>
      </c>
      <c r="AX125">
        <v>262</v>
      </c>
      <c r="AY125" s="21">
        <v>0.17899999999999999</v>
      </c>
      <c r="AZ125">
        <v>46</v>
      </c>
      <c r="BA125" s="21">
        <v>0.19500000000000001</v>
      </c>
    </row>
    <row r="126" spans="1:53" x14ac:dyDescent="0.25">
      <c r="A126" s="1" t="s">
        <v>40</v>
      </c>
      <c r="B126">
        <v>125</v>
      </c>
      <c r="C126">
        <v>2.2999999999999998</v>
      </c>
      <c r="D126">
        <v>145</v>
      </c>
      <c r="E126">
        <v>2.2000000000000002</v>
      </c>
      <c r="F126">
        <v>106</v>
      </c>
      <c r="G126">
        <v>1</v>
      </c>
      <c r="H126">
        <v>106</v>
      </c>
      <c r="I126">
        <v>0.3</v>
      </c>
      <c r="J126">
        <v>316</v>
      </c>
      <c r="K126">
        <v>-2</v>
      </c>
      <c r="L126">
        <v>294</v>
      </c>
      <c r="M126">
        <v>11.3</v>
      </c>
      <c r="N126">
        <v>250</v>
      </c>
      <c r="O126">
        <v>1.0169999999999999</v>
      </c>
      <c r="P126">
        <v>12</v>
      </c>
      <c r="Q126">
        <v>0.81699999999999995</v>
      </c>
      <c r="R126">
        <v>251</v>
      </c>
      <c r="S126">
        <v>0.4</v>
      </c>
      <c r="T126">
        <v>186</v>
      </c>
      <c r="U126">
        <v>0.95399999999999996</v>
      </c>
      <c r="V126">
        <v>69</v>
      </c>
      <c r="W126">
        <v>0.93400000000000005</v>
      </c>
      <c r="X126">
        <v>189</v>
      </c>
      <c r="Y126">
        <v>1.03</v>
      </c>
      <c r="Z126">
        <v>149</v>
      </c>
      <c r="AA126">
        <v>1.024</v>
      </c>
      <c r="AB126">
        <v>257</v>
      </c>
      <c r="AC126" s="21">
        <v>0.49299999999999999</v>
      </c>
      <c r="AD126" s="21">
        <v>0.49399999999999999</v>
      </c>
      <c r="AE126">
        <v>185</v>
      </c>
      <c r="AF126">
        <v>198</v>
      </c>
      <c r="AG126" s="21">
        <v>0.51200000000000001</v>
      </c>
      <c r="AH126">
        <v>24</v>
      </c>
      <c r="AI126">
        <v>23.86</v>
      </c>
      <c r="AJ126">
        <v>235</v>
      </c>
      <c r="AK126" s="21">
        <v>0.25600000000000001</v>
      </c>
      <c r="AL126">
        <v>182</v>
      </c>
      <c r="AM126" s="21">
        <v>0.315</v>
      </c>
      <c r="AN126">
        <v>184</v>
      </c>
      <c r="AO126" s="21">
        <v>0.33600000000000002</v>
      </c>
      <c r="AP126">
        <v>82</v>
      </c>
      <c r="AQ126" s="21">
        <v>0.32100000000000001</v>
      </c>
      <c r="AR126">
        <v>216</v>
      </c>
      <c r="AS126" s="21">
        <v>0.26700000000000002</v>
      </c>
      <c r="AT126">
        <v>38</v>
      </c>
      <c r="AU126" s="21">
        <v>0.75600000000000001</v>
      </c>
      <c r="AV126">
        <v>264</v>
      </c>
      <c r="AW126">
        <v>68.5</v>
      </c>
      <c r="AX126">
        <v>162</v>
      </c>
      <c r="AY126" s="21">
        <v>0.16500000000000001</v>
      </c>
      <c r="AZ126">
        <v>169</v>
      </c>
      <c r="BA126" s="21">
        <v>0.16900000000000001</v>
      </c>
    </row>
    <row r="127" spans="1:53" x14ac:dyDescent="0.25">
      <c r="A127" s="1" t="s">
        <v>25</v>
      </c>
      <c r="B127">
        <v>126</v>
      </c>
      <c r="C127">
        <v>2.1</v>
      </c>
      <c r="D127">
        <v>95</v>
      </c>
      <c r="E127">
        <v>7</v>
      </c>
      <c r="F127">
        <v>148</v>
      </c>
      <c r="G127">
        <v>-1</v>
      </c>
      <c r="H127">
        <v>97</v>
      </c>
      <c r="I127">
        <v>0.6</v>
      </c>
      <c r="J127">
        <v>313</v>
      </c>
      <c r="K127">
        <v>-2</v>
      </c>
      <c r="L127">
        <v>341</v>
      </c>
      <c r="M127">
        <v>12.2</v>
      </c>
      <c r="N127">
        <v>85</v>
      </c>
      <c r="O127">
        <v>1.298</v>
      </c>
      <c r="P127">
        <v>249</v>
      </c>
      <c r="Q127">
        <v>1.226</v>
      </c>
      <c r="R127">
        <v>304</v>
      </c>
      <c r="S127">
        <v>0.3</v>
      </c>
      <c r="T127">
        <v>40</v>
      </c>
      <c r="U127">
        <v>0.99199999999999999</v>
      </c>
      <c r="V127">
        <v>233</v>
      </c>
      <c r="W127">
        <v>0.96499999999999997</v>
      </c>
      <c r="X127">
        <v>58</v>
      </c>
      <c r="Y127">
        <v>1.1000000000000001</v>
      </c>
      <c r="Z127">
        <v>238</v>
      </c>
      <c r="AA127">
        <v>1.0589999999999999</v>
      </c>
      <c r="AB127">
        <v>74</v>
      </c>
      <c r="AC127" s="21">
        <v>0.53300000000000003</v>
      </c>
      <c r="AD127" s="21">
        <v>0.52900000000000003</v>
      </c>
      <c r="AE127">
        <v>51</v>
      </c>
      <c r="AF127">
        <v>233</v>
      </c>
      <c r="AG127" s="21">
        <v>0.51800000000000002</v>
      </c>
      <c r="AH127">
        <v>265</v>
      </c>
      <c r="AI127">
        <v>17.940000000000001</v>
      </c>
      <c r="AJ127">
        <v>287</v>
      </c>
      <c r="AK127" s="21">
        <v>0.26900000000000002</v>
      </c>
      <c r="AL127">
        <v>27</v>
      </c>
      <c r="AM127" s="21">
        <v>0.38800000000000001</v>
      </c>
      <c r="AN127">
        <v>138</v>
      </c>
      <c r="AO127" s="21">
        <v>0.34499999999999997</v>
      </c>
      <c r="AP127">
        <v>224</v>
      </c>
      <c r="AQ127" s="21">
        <v>0.34499999999999997</v>
      </c>
      <c r="AR127">
        <v>31</v>
      </c>
      <c r="AS127" s="21">
        <v>0.33700000000000002</v>
      </c>
      <c r="AT127">
        <v>36</v>
      </c>
      <c r="AU127" s="21">
        <v>0.75800000000000001</v>
      </c>
      <c r="AV127">
        <v>341</v>
      </c>
      <c r="AW127">
        <v>66.7</v>
      </c>
      <c r="AX127">
        <v>163</v>
      </c>
      <c r="AY127" s="21">
        <v>0.16500000000000001</v>
      </c>
      <c r="AZ127">
        <v>322</v>
      </c>
      <c r="BA127" s="21">
        <v>0.14499999999999999</v>
      </c>
    </row>
    <row r="128" spans="1:53" x14ac:dyDescent="0.25">
      <c r="A128" s="1" t="s">
        <v>543</v>
      </c>
      <c r="B128">
        <v>127</v>
      </c>
      <c r="C128">
        <v>2.1</v>
      </c>
      <c r="D128">
        <v>125</v>
      </c>
      <c r="E128">
        <v>3.8</v>
      </c>
      <c r="F128">
        <v>147</v>
      </c>
      <c r="G128">
        <v>-1</v>
      </c>
      <c r="H128">
        <v>225</v>
      </c>
      <c r="I128">
        <v>-3.6</v>
      </c>
      <c r="J128">
        <v>164</v>
      </c>
      <c r="K128">
        <v>0.3</v>
      </c>
      <c r="L128">
        <v>218</v>
      </c>
      <c r="M128">
        <v>10.6</v>
      </c>
      <c r="N128">
        <v>186</v>
      </c>
      <c r="O128">
        <v>1.1220000000000001</v>
      </c>
      <c r="P128">
        <v>229</v>
      </c>
      <c r="Q128">
        <v>1.196</v>
      </c>
      <c r="R128">
        <v>279</v>
      </c>
      <c r="S128">
        <v>0.33300000000000002</v>
      </c>
      <c r="T128">
        <v>298</v>
      </c>
      <c r="U128">
        <v>0.93</v>
      </c>
      <c r="V128">
        <v>318</v>
      </c>
      <c r="W128">
        <v>0.98299999999999998</v>
      </c>
      <c r="X128">
        <v>161</v>
      </c>
      <c r="Y128">
        <v>1.042</v>
      </c>
      <c r="Z128">
        <v>107</v>
      </c>
      <c r="AA128">
        <v>1.0109999999999999</v>
      </c>
      <c r="AB128">
        <v>97</v>
      </c>
      <c r="AC128" s="21">
        <v>0.52500000000000002</v>
      </c>
      <c r="AD128" s="21">
        <v>0.53</v>
      </c>
      <c r="AE128">
        <v>49</v>
      </c>
      <c r="AF128">
        <v>47</v>
      </c>
      <c r="AG128" s="21">
        <v>0.47799999999999998</v>
      </c>
      <c r="AH128">
        <v>120</v>
      </c>
      <c r="AI128">
        <v>20.856999999999999</v>
      </c>
      <c r="AJ128">
        <v>180</v>
      </c>
      <c r="AK128" s="21">
        <v>0.24299999999999999</v>
      </c>
      <c r="AL128">
        <v>156</v>
      </c>
      <c r="AM128" s="21">
        <v>0.32300000000000001</v>
      </c>
      <c r="AN128">
        <v>160</v>
      </c>
      <c r="AO128" s="21">
        <v>0.34100000000000003</v>
      </c>
      <c r="AP128">
        <v>29</v>
      </c>
      <c r="AQ128" s="21">
        <v>0.308</v>
      </c>
      <c r="AR128">
        <v>198</v>
      </c>
      <c r="AS128" s="21">
        <v>0.27500000000000002</v>
      </c>
      <c r="AT128">
        <v>105</v>
      </c>
      <c r="AU128" s="21">
        <v>0.73799999999999999</v>
      </c>
      <c r="AV128">
        <v>259</v>
      </c>
      <c r="AW128">
        <v>68.599999999999994</v>
      </c>
      <c r="AX128">
        <v>297</v>
      </c>
      <c r="AY128" s="21">
        <v>0.185</v>
      </c>
      <c r="AZ128">
        <v>329</v>
      </c>
      <c r="BA128" s="21">
        <v>0.14299999999999999</v>
      </c>
    </row>
    <row r="129" spans="1:53" x14ac:dyDescent="0.25">
      <c r="A129" s="1" t="s">
        <v>12</v>
      </c>
      <c r="B129">
        <v>128</v>
      </c>
      <c r="C129">
        <v>2.1</v>
      </c>
      <c r="D129">
        <v>96</v>
      </c>
      <c r="E129">
        <v>6.9</v>
      </c>
      <c r="F129">
        <v>169</v>
      </c>
      <c r="G129">
        <v>-1.8</v>
      </c>
      <c r="H129">
        <v>185</v>
      </c>
      <c r="I129">
        <v>-2.5</v>
      </c>
      <c r="J129">
        <v>16</v>
      </c>
      <c r="K129">
        <v>3.1</v>
      </c>
      <c r="L129">
        <v>339</v>
      </c>
      <c r="M129">
        <v>12.2</v>
      </c>
      <c r="N129">
        <v>44</v>
      </c>
      <c r="O129">
        <v>1.4179999999999999</v>
      </c>
      <c r="P129">
        <v>163</v>
      </c>
      <c r="Q129">
        <v>1.099</v>
      </c>
      <c r="R129">
        <v>8</v>
      </c>
      <c r="S129">
        <v>0.84599999999999997</v>
      </c>
      <c r="T129">
        <v>150</v>
      </c>
      <c r="U129">
        <v>0.96099999999999997</v>
      </c>
      <c r="V129">
        <v>300</v>
      </c>
      <c r="W129">
        <v>0.97699999999999998</v>
      </c>
      <c r="X129">
        <v>81</v>
      </c>
      <c r="Y129">
        <v>1.0820000000000001</v>
      </c>
      <c r="Z129">
        <v>167</v>
      </c>
      <c r="AA129">
        <v>1.03</v>
      </c>
      <c r="AB129">
        <v>65</v>
      </c>
      <c r="AC129" s="21">
        <v>0.53600000000000003</v>
      </c>
      <c r="AD129" s="21">
        <v>0.55000000000000004</v>
      </c>
      <c r="AE129">
        <v>16</v>
      </c>
      <c r="AF129">
        <v>99</v>
      </c>
      <c r="AG129" s="21">
        <v>0.49199999999999999</v>
      </c>
      <c r="AH129">
        <v>147</v>
      </c>
      <c r="AI129">
        <v>20.242999999999999</v>
      </c>
      <c r="AJ129">
        <v>89</v>
      </c>
      <c r="AK129" s="21">
        <v>0.219</v>
      </c>
      <c r="AL129">
        <v>5</v>
      </c>
      <c r="AM129" s="21">
        <v>0.42099999999999999</v>
      </c>
      <c r="AN129">
        <v>64</v>
      </c>
      <c r="AO129" s="21">
        <v>0.36</v>
      </c>
      <c r="AP129">
        <v>115</v>
      </c>
      <c r="AQ129" s="21">
        <v>0.32800000000000001</v>
      </c>
      <c r="AR129">
        <v>178</v>
      </c>
      <c r="AS129" s="21">
        <v>0.27900000000000003</v>
      </c>
      <c r="AT129">
        <v>255</v>
      </c>
      <c r="AU129" s="21">
        <v>0.70899999999999996</v>
      </c>
      <c r="AV129">
        <v>247</v>
      </c>
      <c r="AW129">
        <v>68.8</v>
      </c>
      <c r="AX129">
        <v>169</v>
      </c>
      <c r="AY129" s="21">
        <v>0.16600000000000001</v>
      </c>
      <c r="AZ129">
        <v>224</v>
      </c>
      <c r="BA129" s="21">
        <v>0.161</v>
      </c>
    </row>
    <row r="130" spans="1:53" x14ac:dyDescent="0.25">
      <c r="A130" s="1" t="s">
        <v>544</v>
      </c>
      <c r="B130">
        <v>129</v>
      </c>
      <c r="C130">
        <v>2</v>
      </c>
      <c r="D130">
        <v>109</v>
      </c>
      <c r="E130">
        <v>5</v>
      </c>
      <c r="F130">
        <v>170</v>
      </c>
      <c r="G130">
        <v>-2.1</v>
      </c>
      <c r="H130">
        <v>234</v>
      </c>
      <c r="I130">
        <v>-3.8</v>
      </c>
      <c r="J130">
        <v>97</v>
      </c>
      <c r="K130">
        <v>1.2</v>
      </c>
      <c r="L130">
        <v>178</v>
      </c>
      <c r="M130">
        <v>10.3</v>
      </c>
      <c r="N130">
        <v>163</v>
      </c>
      <c r="O130">
        <v>1.157</v>
      </c>
      <c r="P130">
        <v>44</v>
      </c>
      <c r="Q130">
        <v>0.92900000000000005</v>
      </c>
      <c r="R130">
        <v>50</v>
      </c>
      <c r="S130">
        <v>0.66700000000000004</v>
      </c>
      <c r="T130">
        <v>158</v>
      </c>
      <c r="U130">
        <v>0.96</v>
      </c>
      <c r="V130">
        <v>5</v>
      </c>
      <c r="W130">
        <v>0.89100000000000001</v>
      </c>
      <c r="X130">
        <v>109</v>
      </c>
      <c r="Y130">
        <v>1.0660000000000001</v>
      </c>
      <c r="Z130">
        <v>65</v>
      </c>
      <c r="AA130">
        <v>0.98699999999999999</v>
      </c>
      <c r="AB130">
        <v>119</v>
      </c>
      <c r="AC130" s="21">
        <v>0.51800000000000002</v>
      </c>
      <c r="AD130" s="21">
        <v>0.51600000000000001</v>
      </c>
      <c r="AE130">
        <v>80</v>
      </c>
      <c r="AF130">
        <v>130</v>
      </c>
      <c r="AG130" s="21">
        <v>0.499</v>
      </c>
      <c r="AH130">
        <v>89</v>
      </c>
      <c r="AI130">
        <v>21.538</v>
      </c>
      <c r="AJ130">
        <v>354</v>
      </c>
      <c r="AK130" s="21">
        <v>0.30299999999999999</v>
      </c>
      <c r="AL130">
        <v>332</v>
      </c>
      <c r="AM130" s="21">
        <v>0.249</v>
      </c>
      <c r="AN130">
        <v>110</v>
      </c>
      <c r="AO130" s="21">
        <v>0.35</v>
      </c>
      <c r="AP130">
        <v>285</v>
      </c>
      <c r="AQ130" s="21">
        <v>0.35599999999999998</v>
      </c>
      <c r="AR130">
        <v>26</v>
      </c>
      <c r="AS130" s="21">
        <v>0.33900000000000002</v>
      </c>
      <c r="AT130">
        <v>6</v>
      </c>
      <c r="AU130" s="21">
        <v>0.78300000000000003</v>
      </c>
      <c r="AV130">
        <v>11</v>
      </c>
      <c r="AW130">
        <v>74.900000000000006</v>
      </c>
      <c r="AX130">
        <v>295</v>
      </c>
      <c r="AY130" s="21">
        <v>0.185</v>
      </c>
      <c r="AZ130">
        <v>33</v>
      </c>
      <c r="BA130" s="21">
        <v>0.2</v>
      </c>
    </row>
    <row r="131" spans="1:53" x14ac:dyDescent="0.25">
      <c r="A131" s="1" t="s">
        <v>8</v>
      </c>
      <c r="B131">
        <v>130</v>
      </c>
      <c r="C131">
        <v>1.9</v>
      </c>
      <c r="D131">
        <v>66</v>
      </c>
      <c r="E131">
        <v>11.1</v>
      </c>
      <c r="F131">
        <v>207</v>
      </c>
      <c r="G131">
        <v>-3</v>
      </c>
      <c r="H131">
        <v>161</v>
      </c>
      <c r="I131">
        <v>-1.6</v>
      </c>
      <c r="J131">
        <v>60</v>
      </c>
      <c r="K131">
        <v>1.8</v>
      </c>
      <c r="L131">
        <v>229</v>
      </c>
      <c r="M131">
        <v>10.6</v>
      </c>
      <c r="N131">
        <v>52</v>
      </c>
      <c r="O131">
        <v>1.3859999999999999</v>
      </c>
      <c r="P131">
        <v>39</v>
      </c>
      <c r="Q131">
        <v>0.91800000000000004</v>
      </c>
      <c r="R131">
        <v>18</v>
      </c>
      <c r="S131">
        <v>0.77800000000000002</v>
      </c>
      <c r="T131">
        <v>254</v>
      </c>
      <c r="U131">
        <v>0.93899999999999995</v>
      </c>
      <c r="V131">
        <v>85</v>
      </c>
      <c r="W131">
        <v>0.93799999999999994</v>
      </c>
      <c r="X131">
        <v>25</v>
      </c>
      <c r="Y131">
        <v>1.127</v>
      </c>
      <c r="Z131">
        <v>212</v>
      </c>
      <c r="AA131">
        <v>1.05</v>
      </c>
      <c r="AB131">
        <v>6</v>
      </c>
      <c r="AC131" s="21">
        <v>0.57299999999999995</v>
      </c>
      <c r="AD131" s="21">
        <v>0.54600000000000004</v>
      </c>
      <c r="AE131">
        <v>25</v>
      </c>
      <c r="AF131">
        <v>245</v>
      </c>
      <c r="AG131" s="21">
        <v>0.52100000000000002</v>
      </c>
      <c r="AH131">
        <v>174</v>
      </c>
      <c r="AI131">
        <v>19.753</v>
      </c>
      <c r="AJ131">
        <v>264</v>
      </c>
      <c r="AK131" s="21">
        <v>0.26100000000000001</v>
      </c>
      <c r="AL131">
        <v>220</v>
      </c>
      <c r="AM131" s="21">
        <v>0.3</v>
      </c>
      <c r="AN131">
        <v>54</v>
      </c>
      <c r="AO131" s="21">
        <v>0.36499999999999999</v>
      </c>
      <c r="AP131">
        <v>265</v>
      </c>
      <c r="AQ131" s="21">
        <v>0.35199999999999998</v>
      </c>
      <c r="AR131">
        <v>307</v>
      </c>
      <c r="AS131" s="21">
        <v>0.23300000000000001</v>
      </c>
      <c r="AT131">
        <v>3</v>
      </c>
      <c r="AU131" s="21">
        <v>0.79200000000000004</v>
      </c>
      <c r="AV131">
        <v>152</v>
      </c>
      <c r="AW131">
        <v>70.7</v>
      </c>
      <c r="AX131">
        <v>86</v>
      </c>
      <c r="AY131" s="21">
        <v>0.155</v>
      </c>
      <c r="AZ131">
        <v>296</v>
      </c>
      <c r="BA131" s="21">
        <v>0.151</v>
      </c>
    </row>
    <row r="132" spans="1:53" x14ac:dyDescent="0.25">
      <c r="A132" s="1" t="s">
        <v>78</v>
      </c>
      <c r="B132">
        <v>131</v>
      </c>
      <c r="C132">
        <v>1.7</v>
      </c>
      <c r="D132">
        <v>135</v>
      </c>
      <c r="E132">
        <v>2.9</v>
      </c>
      <c r="F132">
        <v>187</v>
      </c>
      <c r="G132">
        <v>-2.7</v>
      </c>
      <c r="H132">
        <v>202</v>
      </c>
      <c r="I132">
        <v>-3</v>
      </c>
      <c r="J132">
        <v>199</v>
      </c>
      <c r="K132">
        <v>-0.2</v>
      </c>
      <c r="L132">
        <v>343</v>
      </c>
      <c r="M132">
        <v>12.3</v>
      </c>
      <c r="N132">
        <v>36</v>
      </c>
      <c r="O132">
        <v>1.4510000000000001</v>
      </c>
      <c r="P132">
        <v>192</v>
      </c>
      <c r="Q132">
        <v>1.151</v>
      </c>
      <c r="R132">
        <v>158</v>
      </c>
      <c r="S132">
        <v>0.5</v>
      </c>
      <c r="T132">
        <v>68</v>
      </c>
      <c r="U132">
        <v>0.98099999999999998</v>
      </c>
      <c r="V132">
        <v>177</v>
      </c>
      <c r="W132">
        <v>0.95599999999999996</v>
      </c>
      <c r="X132">
        <v>119</v>
      </c>
      <c r="Y132">
        <v>1.0609999999999999</v>
      </c>
      <c r="Z132">
        <v>42</v>
      </c>
      <c r="AA132">
        <v>0.97699999999999998</v>
      </c>
      <c r="AB132">
        <v>172</v>
      </c>
      <c r="AC132" s="21">
        <v>0.50800000000000001</v>
      </c>
      <c r="AD132" s="21">
        <v>0.501</v>
      </c>
      <c r="AE132">
        <v>148</v>
      </c>
      <c r="AF132">
        <v>70</v>
      </c>
      <c r="AG132" s="21">
        <v>0.48499999999999999</v>
      </c>
      <c r="AH132">
        <v>155</v>
      </c>
      <c r="AI132">
        <v>20.140999999999998</v>
      </c>
      <c r="AJ132">
        <v>11</v>
      </c>
      <c r="AK132" s="21">
        <v>0.18099999999999999</v>
      </c>
      <c r="AL132">
        <v>94</v>
      </c>
      <c r="AM132" s="21">
        <v>0.34599999999999997</v>
      </c>
      <c r="AN132">
        <v>282</v>
      </c>
      <c r="AO132" s="21">
        <v>0.317</v>
      </c>
      <c r="AP132">
        <v>128</v>
      </c>
      <c r="AQ132" s="21">
        <v>0.33100000000000002</v>
      </c>
      <c r="AR132">
        <v>227</v>
      </c>
      <c r="AS132" s="21">
        <v>0.26200000000000001</v>
      </c>
      <c r="AT132">
        <v>324</v>
      </c>
      <c r="AU132" s="21">
        <v>0.68600000000000005</v>
      </c>
      <c r="AV132">
        <v>326</v>
      </c>
      <c r="AW132">
        <v>67</v>
      </c>
      <c r="AX132">
        <v>26</v>
      </c>
      <c r="AY132" s="21">
        <v>0.14199999999999999</v>
      </c>
      <c r="AZ132">
        <v>30</v>
      </c>
      <c r="BA132" s="21">
        <v>0.20100000000000001</v>
      </c>
    </row>
    <row r="133" spans="1:53" x14ac:dyDescent="0.25">
      <c r="A133" s="1" t="s">
        <v>254</v>
      </c>
      <c r="B133">
        <v>132</v>
      </c>
      <c r="C133">
        <v>1.7</v>
      </c>
      <c r="D133">
        <v>205</v>
      </c>
      <c r="E133">
        <v>-0.3</v>
      </c>
      <c r="F133">
        <v>243</v>
      </c>
      <c r="G133">
        <v>-3.9</v>
      </c>
      <c r="H133">
        <v>207</v>
      </c>
      <c r="I133">
        <v>-3.1</v>
      </c>
      <c r="J133">
        <v>173</v>
      </c>
      <c r="K133">
        <v>0.1</v>
      </c>
      <c r="L133">
        <v>43</v>
      </c>
      <c r="M133">
        <v>8.8000000000000007</v>
      </c>
      <c r="N133">
        <v>38</v>
      </c>
      <c r="O133">
        <v>1.4279999999999999</v>
      </c>
      <c r="P133">
        <v>202</v>
      </c>
      <c r="Q133">
        <v>1.1619999999999999</v>
      </c>
      <c r="R133">
        <v>251</v>
      </c>
      <c r="S133">
        <v>0.4</v>
      </c>
      <c r="T133">
        <v>3</v>
      </c>
      <c r="U133">
        <v>1.0309999999999999</v>
      </c>
      <c r="V133">
        <v>234</v>
      </c>
      <c r="W133">
        <v>0.96599999999999997</v>
      </c>
      <c r="X133">
        <v>26</v>
      </c>
      <c r="Y133">
        <v>1.127</v>
      </c>
      <c r="Z133">
        <v>155</v>
      </c>
      <c r="AA133">
        <v>1.026</v>
      </c>
      <c r="AB133">
        <v>123</v>
      </c>
      <c r="AC133" s="21">
        <v>0.51700000000000002</v>
      </c>
      <c r="AD133" s="21">
        <v>0.48699999999999999</v>
      </c>
      <c r="AE133">
        <v>223</v>
      </c>
      <c r="AF133">
        <v>160</v>
      </c>
      <c r="AG133" s="21">
        <v>0.505</v>
      </c>
      <c r="AH133">
        <v>192</v>
      </c>
      <c r="AI133">
        <v>19.449000000000002</v>
      </c>
      <c r="AJ133">
        <v>48</v>
      </c>
      <c r="AK133" s="21">
        <v>0.20799999999999999</v>
      </c>
      <c r="AL133">
        <v>242</v>
      </c>
      <c r="AM133" s="21">
        <v>0.29099999999999998</v>
      </c>
      <c r="AN133">
        <v>123</v>
      </c>
      <c r="AO133" s="21">
        <v>0.34799999999999998</v>
      </c>
      <c r="AP133">
        <v>107</v>
      </c>
      <c r="AQ133" s="21">
        <v>0.32600000000000001</v>
      </c>
      <c r="AR133">
        <v>76</v>
      </c>
      <c r="AS133" s="21">
        <v>0.318</v>
      </c>
      <c r="AT133">
        <v>158</v>
      </c>
      <c r="AU133" s="21">
        <v>0.72799999999999998</v>
      </c>
      <c r="AV133">
        <v>225</v>
      </c>
      <c r="AW133">
        <v>69.3</v>
      </c>
      <c r="AX133">
        <v>1</v>
      </c>
      <c r="AY133" s="21">
        <v>0.122</v>
      </c>
      <c r="AZ133">
        <v>194</v>
      </c>
      <c r="BA133" s="21">
        <v>0.16400000000000001</v>
      </c>
    </row>
    <row r="134" spans="1:53" x14ac:dyDescent="0.25">
      <c r="A134" s="1" t="s">
        <v>88</v>
      </c>
      <c r="B134">
        <v>133</v>
      </c>
      <c r="C134">
        <v>1.7</v>
      </c>
      <c r="D134">
        <v>217</v>
      </c>
      <c r="E134">
        <v>-1.4</v>
      </c>
      <c r="F134">
        <v>143</v>
      </c>
      <c r="G134">
        <v>-0.8</v>
      </c>
      <c r="H134">
        <v>263</v>
      </c>
      <c r="I134">
        <v>-4.4000000000000004</v>
      </c>
      <c r="J134">
        <v>224</v>
      </c>
      <c r="K134">
        <v>-0.6</v>
      </c>
      <c r="L134">
        <v>213</v>
      </c>
      <c r="M134">
        <v>10.5</v>
      </c>
      <c r="N134">
        <v>60</v>
      </c>
      <c r="O134">
        <v>1.3560000000000001</v>
      </c>
      <c r="P134">
        <v>254</v>
      </c>
      <c r="Q134">
        <v>1.2370000000000001</v>
      </c>
      <c r="R134">
        <v>93</v>
      </c>
      <c r="S134">
        <v>0.6</v>
      </c>
      <c r="T134">
        <v>218</v>
      </c>
      <c r="U134">
        <v>0.94799999999999995</v>
      </c>
      <c r="V134">
        <v>285</v>
      </c>
      <c r="W134">
        <v>0.97299999999999998</v>
      </c>
      <c r="X134">
        <v>120</v>
      </c>
      <c r="Y134">
        <v>1.06</v>
      </c>
      <c r="Z134">
        <v>132</v>
      </c>
      <c r="AA134">
        <v>1.018</v>
      </c>
      <c r="AB134">
        <v>111</v>
      </c>
      <c r="AC134" s="21">
        <v>0.52100000000000002</v>
      </c>
      <c r="AD134" s="21">
        <v>0.497</v>
      </c>
      <c r="AE134">
        <v>168</v>
      </c>
      <c r="AF134">
        <v>63</v>
      </c>
      <c r="AG134" s="21">
        <v>0.48399999999999999</v>
      </c>
      <c r="AH134">
        <v>92</v>
      </c>
      <c r="AI134">
        <v>21.457999999999998</v>
      </c>
      <c r="AJ134">
        <v>172</v>
      </c>
      <c r="AK134" s="21">
        <v>0.24199999999999999</v>
      </c>
      <c r="AL134">
        <v>199</v>
      </c>
      <c r="AM134" s="21">
        <v>0.307</v>
      </c>
      <c r="AN134">
        <v>176</v>
      </c>
      <c r="AO134" s="21">
        <v>0.33900000000000002</v>
      </c>
      <c r="AP134">
        <v>91</v>
      </c>
      <c r="AQ134" s="21">
        <v>0.32300000000000001</v>
      </c>
      <c r="AR134">
        <v>299</v>
      </c>
      <c r="AS134" s="21">
        <v>0.23599999999999999</v>
      </c>
      <c r="AT134">
        <v>289</v>
      </c>
      <c r="AU134" s="21">
        <v>0.69799999999999995</v>
      </c>
      <c r="AV134">
        <v>198</v>
      </c>
      <c r="AW134">
        <v>69.900000000000006</v>
      </c>
      <c r="AX134">
        <v>82</v>
      </c>
      <c r="AY134" s="21">
        <v>0.154</v>
      </c>
      <c r="AZ134">
        <v>166</v>
      </c>
      <c r="BA134" s="21">
        <v>0.16900000000000001</v>
      </c>
    </row>
    <row r="135" spans="1:53" x14ac:dyDescent="0.25">
      <c r="A135" s="1" t="s">
        <v>14</v>
      </c>
      <c r="B135">
        <v>134</v>
      </c>
      <c r="C135">
        <v>1.7</v>
      </c>
      <c r="D135">
        <v>212</v>
      </c>
      <c r="E135">
        <v>-0.7</v>
      </c>
      <c r="F135">
        <v>112</v>
      </c>
      <c r="G135">
        <v>0.6</v>
      </c>
      <c r="H135">
        <v>179</v>
      </c>
      <c r="I135">
        <v>-2.4</v>
      </c>
      <c r="J135">
        <v>248</v>
      </c>
      <c r="K135">
        <v>-0.9</v>
      </c>
      <c r="L135">
        <v>12</v>
      </c>
      <c r="M135">
        <v>8</v>
      </c>
      <c r="N135">
        <v>23</v>
      </c>
      <c r="O135">
        <v>1.51</v>
      </c>
      <c r="P135">
        <v>268</v>
      </c>
      <c r="Q135">
        <v>1.254</v>
      </c>
      <c r="R135">
        <v>279</v>
      </c>
      <c r="S135">
        <v>0.33300000000000002</v>
      </c>
      <c r="T135">
        <v>183</v>
      </c>
      <c r="U135">
        <v>0.95499999999999996</v>
      </c>
      <c r="V135">
        <v>244</v>
      </c>
      <c r="W135">
        <v>0.96699999999999997</v>
      </c>
      <c r="X135">
        <v>112</v>
      </c>
      <c r="Y135">
        <v>1.0649999999999999</v>
      </c>
      <c r="Z135">
        <v>235</v>
      </c>
      <c r="AA135">
        <v>1.0569999999999999</v>
      </c>
      <c r="AB135">
        <v>101</v>
      </c>
      <c r="AC135" s="21">
        <v>0.52400000000000002</v>
      </c>
      <c r="AD135" s="21">
        <v>0.51700000000000002</v>
      </c>
      <c r="AE135">
        <v>76</v>
      </c>
      <c r="AF135">
        <v>254</v>
      </c>
      <c r="AG135" s="21">
        <v>0.52300000000000002</v>
      </c>
      <c r="AH135">
        <v>250</v>
      </c>
      <c r="AI135">
        <v>18.396999999999998</v>
      </c>
      <c r="AJ135">
        <v>65</v>
      </c>
      <c r="AK135" s="21">
        <v>0.214</v>
      </c>
      <c r="AL135">
        <v>107</v>
      </c>
      <c r="AM135" s="21">
        <v>0.34</v>
      </c>
      <c r="AN135">
        <v>162</v>
      </c>
      <c r="AO135" s="21">
        <v>0.34100000000000003</v>
      </c>
      <c r="AP135">
        <v>273</v>
      </c>
      <c r="AQ135" s="21">
        <v>0.35299999999999998</v>
      </c>
      <c r="AR135">
        <v>328</v>
      </c>
      <c r="AS135" s="21">
        <v>0.22</v>
      </c>
      <c r="AT135">
        <v>82</v>
      </c>
      <c r="AU135" s="21">
        <v>0.74299999999999999</v>
      </c>
      <c r="AV135">
        <v>307</v>
      </c>
      <c r="AW135">
        <v>67.599999999999994</v>
      </c>
      <c r="AX135">
        <v>27</v>
      </c>
      <c r="AY135" s="21">
        <v>0.14299999999999999</v>
      </c>
      <c r="AZ135">
        <v>294</v>
      </c>
      <c r="BA135" s="21">
        <v>0.151</v>
      </c>
    </row>
    <row r="136" spans="1:53" x14ac:dyDescent="0.25">
      <c r="A136" s="1" t="s">
        <v>447</v>
      </c>
      <c r="B136">
        <v>135</v>
      </c>
      <c r="C136">
        <v>1.6</v>
      </c>
      <c r="D136">
        <v>153</v>
      </c>
      <c r="E136">
        <v>1.2</v>
      </c>
      <c r="F136">
        <v>180</v>
      </c>
      <c r="G136">
        <v>-2.5</v>
      </c>
      <c r="H136">
        <v>139</v>
      </c>
      <c r="I136">
        <v>-0.9</v>
      </c>
      <c r="J136">
        <v>157</v>
      </c>
      <c r="K136">
        <v>0.4</v>
      </c>
      <c r="L136">
        <v>284</v>
      </c>
      <c r="M136">
        <v>11.2</v>
      </c>
      <c r="N136">
        <v>247</v>
      </c>
      <c r="O136">
        <v>1.0189999999999999</v>
      </c>
      <c r="P136">
        <v>105</v>
      </c>
      <c r="Q136">
        <v>1.0049999999999999</v>
      </c>
      <c r="R136">
        <v>77</v>
      </c>
      <c r="S136">
        <v>0.625</v>
      </c>
      <c r="T136">
        <v>43</v>
      </c>
      <c r="U136">
        <v>0.98899999999999999</v>
      </c>
      <c r="V136">
        <v>58</v>
      </c>
      <c r="W136">
        <v>0.93</v>
      </c>
      <c r="X136">
        <v>159</v>
      </c>
      <c r="Y136">
        <v>1.0429999999999999</v>
      </c>
      <c r="Z136">
        <v>59</v>
      </c>
      <c r="AA136">
        <v>0.98399999999999999</v>
      </c>
      <c r="AB136">
        <v>283</v>
      </c>
      <c r="AC136" s="21">
        <v>0.48699999999999999</v>
      </c>
      <c r="AD136" s="21">
        <v>0.45700000000000002</v>
      </c>
      <c r="AE136">
        <v>333</v>
      </c>
      <c r="AF136">
        <v>65</v>
      </c>
      <c r="AG136" s="21">
        <v>0.48399999999999999</v>
      </c>
      <c r="AH136">
        <v>179</v>
      </c>
      <c r="AI136">
        <v>19.701000000000001</v>
      </c>
      <c r="AJ136">
        <v>307</v>
      </c>
      <c r="AK136" s="21">
        <v>0.27400000000000002</v>
      </c>
      <c r="AL136">
        <v>254</v>
      </c>
      <c r="AM136" s="21">
        <v>0.28799999999999998</v>
      </c>
      <c r="AN136">
        <v>334</v>
      </c>
      <c r="AO136" s="21">
        <v>0.30499999999999999</v>
      </c>
      <c r="AP136">
        <v>49</v>
      </c>
      <c r="AQ136" s="21">
        <v>0.313</v>
      </c>
      <c r="AR136">
        <v>20</v>
      </c>
      <c r="AS136" s="21">
        <v>0.34300000000000003</v>
      </c>
      <c r="AT136">
        <v>100</v>
      </c>
      <c r="AU136" s="21">
        <v>0.73899999999999999</v>
      </c>
      <c r="AV136">
        <v>213</v>
      </c>
      <c r="AW136">
        <v>69.599999999999994</v>
      </c>
      <c r="AX136">
        <v>186</v>
      </c>
      <c r="AY136" s="21">
        <v>0.16900000000000001</v>
      </c>
      <c r="AZ136">
        <v>78</v>
      </c>
      <c r="BA136" s="21">
        <v>0.184</v>
      </c>
    </row>
    <row r="137" spans="1:53" x14ac:dyDescent="0.25">
      <c r="A137" s="1" t="s">
        <v>0</v>
      </c>
      <c r="B137">
        <v>136</v>
      </c>
      <c r="C137">
        <v>1.6</v>
      </c>
      <c r="D137">
        <v>118</v>
      </c>
      <c r="E137">
        <v>4.5</v>
      </c>
      <c r="F137">
        <v>171</v>
      </c>
      <c r="G137">
        <v>-2.1</v>
      </c>
      <c r="H137">
        <v>117</v>
      </c>
      <c r="I137">
        <v>-0.4</v>
      </c>
      <c r="J137">
        <v>205</v>
      </c>
      <c r="K137">
        <v>-0.4</v>
      </c>
      <c r="L137">
        <v>321</v>
      </c>
      <c r="M137">
        <v>11.7</v>
      </c>
      <c r="N137">
        <v>187</v>
      </c>
      <c r="O137">
        <v>1.1200000000000001</v>
      </c>
      <c r="P137">
        <v>305</v>
      </c>
      <c r="Q137">
        <v>1.341</v>
      </c>
      <c r="R137">
        <v>158</v>
      </c>
      <c r="S137">
        <v>0.5</v>
      </c>
      <c r="T137">
        <v>136</v>
      </c>
      <c r="U137">
        <v>0.96399999999999997</v>
      </c>
      <c r="V137">
        <v>272</v>
      </c>
      <c r="W137">
        <v>0.97199999999999998</v>
      </c>
      <c r="X137">
        <v>48</v>
      </c>
      <c r="Y137">
        <v>1.107</v>
      </c>
      <c r="Z137">
        <v>214</v>
      </c>
      <c r="AA137">
        <v>1.0509999999999999</v>
      </c>
      <c r="AB137">
        <v>66</v>
      </c>
      <c r="AC137" s="21">
        <v>0.53600000000000003</v>
      </c>
      <c r="AD137" s="21">
        <v>0.503</v>
      </c>
      <c r="AE137">
        <v>134</v>
      </c>
      <c r="AF137">
        <v>181</v>
      </c>
      <c r="AG137" s="21">
        <v>0.50900000000000001</v>
      </c>
      <c r="AH137">
        <v>165</v>
      </c>
      <c r="AI137">
        <v>19.89</v>
      </c>
      <c r="AJ137">
        <v>130</v>
      </c>
      <c r="AK137" s="21">
        <v>0.23</v>
      </c>
      <c r="AL137">
        <v>162</v>
      </c>
      <c r="AM137" s="21">
        <v>0.31900000000000001</v>
      </c>
      <c r="AN137">
        <v>125</v>
      </c>
      <c r="AO137" s="21">
        <v>0.34799999999999998</v>
      </c>
      <c r="AP137">
        <v>119</v>
      </c>
      <c r="AQ137" s="21">
        <v>0.32900000000000001</v>
      </c>
      <c r="AR137">
        <v>82</v>
      </c>
      <c r="AS137" s="21">
        <v>0.315</v>
      </c>
      <c r="AT137">
        <v>2</v>
      </c>
      <c r="AU137" s="21">
        <v>0.79800000000000004</v>
      </c>
      <c r="AV137">
        <v>115</v>
      </c>
      <c r="AW137">
        <v>71.400000000000006</v>
      </c>
      <c r="AX137">
        <v>215</v>
      </c>
      <c r="AY137" s="21">
        <v>0.17299999999999999</v>
      </c>
      <c r="AZ137">
        <v>359</v>
      </c>
      <c r="BA137" s="21">
        <v>0.125</v>
      </c>
    </row>
    <row r="138" spans="1:53" x14ac:dyDescent="0.25">
      <c r="A138" s="1" t="s">
        <v>11</v>
      </c>
      <c r="B138">
        <v>137</v>
      </c>
      <c r="C138">
        <v>1.6</v>
      </c>
      <c r="D138">
        <v>100</v>
      </c>
      <c r="E138">
        <v>6.4</v>
      </c>
      <c r="F138">
        <v>124</v>
      </c>
      <c r="G138">
        <v>0</v>
      </c>
      <c r="H138">
        <v>169</v>
      </c>
      <c r="I138">
        <v>-1.9</v>
      </c>
      <c r="J138">
        <v>10</v>
      </c>
      <c r="K138">
        <v>3.5</v>
      </c>
      <c r="L138">
        <v>76</v>
      </c>
      <c r="M138">
        <v>9.3000000000000007</v>
      </c>
      <c r="N138">
        <v>20</v>
      </c>
      <c r="O138">
        <v>1.522</v>
      </c>
      <c r="P138">
        <v>262</v>
      </c>
      <c r="Q138">
        <v>1.246</v>
      </c>
      <c r="R138">
        <v>26</v>
      </c>
      <c r="S138">
        <v>0.76900000000000002</v>
      </c>
      <c r="T138">
        <v>155</v>
      </c>
      <c r="U138">
        <v>0.96</v>
      </c>
      <c r="V138">
        <v>138</v>
      </c>
      <c r="W138">
        <v>0.95</v>
      </c>
      <c r="X138">
        <v>62</v>
      </c>
      <c r="Y138">
        <v>1.097</v>
      </c>
      <c r="Z138">
        <v>262</v>
      </c>
      <c r="AA138">
        <v>1.0680000000000001</v>
      </c>
      <c r="AB138">
        <v>40</v>
      </c>
      <c r="AC138" s="21">
        <v>0.54800000000000004</v>
      </c>
      <c r="AD138" s="21">
        <v>0.55600000000000005</v>
      </c>
      <c r="AE138">
        <v>10</v>
      </c>
      <c r="AF138">
        <v>309</v>
      </c>
      <c r="AG138" s="21">
        <v>0.53700000000000003</v>
      </c>
      <c r="AH138">
        <v>336</v>
      </c>
      <c r="AI138">
        <v>15.898999999999999</v>
      </c>
      <c r="AJ138">
        <v>34</v>
      </c>
      <c r="AK138" s="21">
        <v>0.20200000000000001</v>
      </c>
      <c r="AL138">
        <v>16</v>
      </c>
      <c r="AM138" s="21">
        <v>0.39800000000000002</v>
      </c>
      <c r="AN138">
        <v>15</v>
      </c>
      <c r="AO138" s="21">
        <v>0.38100000000000001</v>
      </c>
      <c r="AP138">
        <v>262</v>
      </c>
      <c r="AQ138" s="21">
        <v>0.35099999999999998</v>
      </c>
      <c r="AR138">
        <v>239</v>
      </c>
      <c r="AS138" s="21">
        <v>0.25600000000000001</v>
      </c>
      <c r="AT138">
        <v>177</v>
      </c>
      <c r="AU138" s="21">
        <v>0.72399999999999998</v>
      </c>
      <c r="AV138">
        <v>84</v>
      </c>
      <c r="AW138">
        <v>71.900000000000006</v>
      </c>
      <c r="AX138">
        <v>101</v>
      </c>
      <c r="AY138" s="21">
        <v>0.156</v>
      </c>
      <c r="AZ138">
        <v>136</v>
      </c>
      <c r="BA138" s="21">
        <v>0.17299999999999999</v>
      </c>
    </row>
    <row r="139" spans="1:53" x14ac:dyDescent="0.25">
      <c r="A139" s="1" t="s">
        <v>188</v>
      </c>
      <c r="B139">
        <v>138</v>
      </c>
      <c r="C139">
        <v>1.5</v>
      </c>
      <c r="D139">
        <v>243</v>
      </c>
      <c r="E139">
        <v>-3.2</v>
      </c>
      <c r="F139">
        <v>140</v>
      </c>
      <c r="G139">
        <v>-0.7</v>
      </c>
      <c r="H139">
        <v>102</v>
      </c>
      <c r="I139">
        <v>0.5</v>
      </c>
      <c r="J139">
        <v>364</v>
      </c>
      <c r="K139">
        <v>-4.5999999999999996</v>
      </c>
      <c r="L139">
        <v>326</v>
      </c>
      <c r="M139">
        <v>11.9</v>
      </c>
      <c r="N139">
        <v>246</v>
      </c>
      <c r="O139">
        <v>1.02</v>
      </c>
      <c r="P139">
        <v>51</v>
      </c>
      <c r="Q139">
        <v>0.94099999999999995</v>
      </c>
      <c r="R139">
        <v>321</v>
      </c>
      <c r="S139">
        <v>0.27300000000000002</v>
      </c>
      <c r="T139">
        <v>137</v>
      </c>
      <c r="U139">
        <v>0.96399999999999997</v>
      </c>
      <c r="V139">
        <v>8</v>
      </c>
      <c r="W139">
        <v>0.89600000000000002</v>
      </c>
      <c r="X139">
        <v>277</v>
      </c>
      <c r="Y139">
        <v>0.99399999999999999</v>
      </c>
      <c r="Z139">
        <v>45</v>
      </c>
      <c r="AA139">
        <v>0.97799999999999998</v>
      </c>
      <c r="AB139">
        <v>334</v>
      </c>
      <c r="AC139" s="21">
        <v>0.46500000000000002</v>
      </c>
      <c r="AD139" s="21">
        <v>0.434</v>
      </c>
      <c r="AE139">
        <v>357</v>
      </c>
      <c r="AF139">
        <v>199</v>
      </c>
      <c r="AG139" s="21">
        <v>0.51200000000000001</v>
      </c>
      <c r="AH139">
        <v>17</v>
      </c>
      <c r="AI139">
        <v>24.344000000000001</v>
      </c>
      <c r="AJ139">
        <v>225</v>
      </c>
      <c r="AK139" s="21">
        <v>0.253</v>
      </c>
      <c r="AL139">
        <v>296</v>
      </c>
      <c r="AM139" s="21">
        <v>0.27600000000000002</v>
      </c>
      <c r="AN139">
        <v>305</v>
      </c>
      <c r="AO139" s="21">
        <v>0.313</v>
      </c>
      <c r="AP139">
        <v>74</v>
      </c>
      <c r="AQ139" s="21">
        <v>0.31900000000000001</v>
      </c>
      <c r="AR139">
        <v>191</v>
      </c>
      <c r="AS139" s="21">
        <v>0.27600000000000002</v>
      </c>
      <c r="AT139">
        <v>46</v>
      </c>
      <c r="AU139" s="21">
        <v>0.754</v>
      </c>
      <c r="AV139">
        <v>229</v>
      </c>
      <c r="AW139">
        <v>69.099999999999994</v>
      </c>
      <c r="AX139">
        <v>168</v>
      </c>
      <c r="AY139" s="21">
        <v>0.16600000000000001</v>
      </c>
      <c r="AZ139">
        <v>24</v>
      </c>
      <c r="BA139" s="21">
        <v>0.20399999999999999</v>
      </c>
    </row>
    <row r="140" spans="1:53" x14ac:dyDescent="0.25">
      <c r="A140" s="1" t="s">
        <v>75</v>
      </c>
      <c r="B140">
        <v>139</v>
      </c>
      <c r="C140">
        <v>1.4</v>
      </c>
      <c r="D140">
        <v>163</v>
      </c>
      <c r="E140">
        <v>0.5</v>
      </c>
      <c r="F140">
        <v>122</v>
      </c>
      <c r="G140">
        <v>0</v>
      </c>
      <c r="H140">
        <v>155</v>
      </c>
      <c r="I140">
        <v>-1.5</v>
      </c>
      <c r="J140">
        <v>136</v>
      </c>
      <c r="K140">
        <v>0.7</v>
      </c>
      <c r="L140">
        <v>39</v>
      </c>
      <c r="M140">
        <v>8.6999999999999993</v>
      </c>
      <c r="N140">
        <v>63</v>
      </c>
      <c r="O140">
        <v>1.3520000000000001</v>
      </c>
      <c r="P140">
        <v>191</v>
      </c>
      <c r="Q140">
        <v>1.1499999999999999</v>
      </c>
      <c r="R140">
        <v>150</v>
      </c>
      <c r="S140">
        <v>0.53900000000000003</v>
      </c>
      <c r="T140">
        <v>224</v>
      </c>
      <c r="U140">
        <v>0.94699999999999995</v>
      </c>
      <c r="V140">
        <v>67</v>
      </c>
      <c r="W140">
        <v>0.93400000000000005</v>
      </c>
      <c r="X140">
        <v>51</v>
      </c>
      <c r="Y140">
        <v>1.105</v>
      </c>
      <c r="Z140">
        <v>280</v>
      </c>
      <c r="AA140">
        <v>1.0760000000000001</v>
      </c>
      <c r="AB140">
        <v>19</v>
      </c>
      <c r="AC140" s="21">
        <v>0.56000000000000005</v>
      </c>
      <c r="AD140" s="21">
        <v>0.55300000000000005</v>
      </c>
      <c r="AE140">
        <v>12</v>
      </c>
      <c r="AF140">
        <v>312</v>
      </c>
      <c r="AG140" s="21">
        <v>0.53800000000000003</v>
      </c>
      <c r="AH140">
        <v>231</v>
      </c>
      <c r="AI140">
        <v>18.768999999999998</v>
      </c>
      <c r="AJ140">
        <v>143</v>
      </c>
      <c r="AK140" s="21">
        <v>0.23499999999999999</v>
      </c>
      <c r="AL140">
        <v>26</v>
      </c>
      <c r="AM140" s="21">
        <v>0.39</v>
      </c>
      <c r="AN140">
        <v>37</v>
      </c>
      <c r="AO140" s="21">
        <v>0.36899999999999999</v>
      </c>
      <c r="AP140">
        <v>316</v>
      </c>
      <c r="AQ140" s="21">
        <v>0.36099999999999999</v>
      </c>
      <c r="AR140">
        <v>296</v>
      </c>
      <c r="AS140" s="21">
        <v>0.23699999999999999</v>
      </c>
      <c r="AT140">
        <v>14</v>
      </c>
      <c r="AU140" s="21">
        <v>0.77300000000000002</v>
      </c>
      <c r="AV140">
        <v>313</v>
      </c>
      <c r="AW140">
        <v>67.400000000000006</v>
      </c>
      <c r="AX140">
        <v>90</v>
      </c>
      <c r="AY140" s="21">
        <v>0.155</v>
      </c>
      <c r="AZ140">
        <v>197</v>
      </c>
      <c r="BA140" s="21">
        <v>0.16400000000000001</v>
      </c>
    </row>
    <row r="141" spans="1:53" x14ac:dyDescent="0.25">
      <c r="A141" s="1" t="s">
        <v>545</v>
      </c>
      <c r="B141">
        <v>140</v>
      </c>
      <c r="C141">
        <v>1.4</v>
      </c>
      <c r="D141">
        <v>138</v>
      </c>
      <c r="E141">
        <v>2.8</v>
      </c>
      <c r="F141">
        <v>164</v>
      </c>
      <c r="G141">
        <v>-1.6</v>
      </c>
      <c r="H141">
        <v>121</v>
      </c>
      <c r="I141">
        <v>-0.6</v>
      </c>
      <c r="J141">
        <v>8</v>
      </c>
      <c r="K141">
        <v>3.8</v>
      </c>
      <c r="L141">
        <v>209</v>
      </c>
      <c r="M141">
        <v>10.5</v>
      </c>
      <c r="N141">
        <v>58</v>
      </c>
      <c r="O141">
        <v>1.3660000000000001</v>
      </c>
      <c r="P141">
        <v>264</v>
      </c>
      <c r="Q141">
        <v>1.2490000000000001</v>
      </c>
      <c r="R141">
        <v>18</v>
      </c>
      <c r="S141">
        <v>0.77800000000000002</v>
      </c>
      <c r="T141">
        <v>217</v>
      </c>
      <c r="U141">
        <v>0.94799999999999995</v>
      </c>
      <c r="V141">
        <v>221</v>
      </c>
      <c r="W141">
        <v>0.96299999999999997</v>
      </c>
      <c r="X141">
        <v>131</v>
      </c>
      <c r="Y141">
        <v>1.0549999999999999</v>
      </c>
      <c r="Z141">
        <v>128</v>
      </c>
      <c r="AA141">
        <v>1.0169999999999999</v>
      </c>
      <c r="AB141">
        <v>100</v>
      </c>
      <c r="AC141" s="21">
        <v>0.52400000000000002</v>
      </c>
      <c r="AD141" s="21">
        <v>0.496</v>
      </c>
      <c r="AE141">
        <v>175</v>
      </c>
      <c r="AF141">
        <v>140</v>
      </c>
      <c r="AG141" s="21">
        <v>0.501</v>
      </c>
      <c r="AH141">
        <v>157</v>
      </c>
      <c r="AI141">
        <v>20.076000000000001</v>
      </c>
      <c r="AJ141">
        <v>32</v>
      </c>
      <c r="AK141" s="21">
        <v>0.20200000000000001</v>
      </c>
      <c r="AL141">
        <v>130</v>
      </c>
      <c r="AM141" s="21">
        <v>0.33</v>
      </c>
      <c r="AN141">
        <v>83</v>
      </c>
      <c r="AO141" s="21">
        <v>0.35499999999999998</v>
      </c>
      <c r="AP141">
        <v>79</v>
      </c>
      <c r="AQ141" s="21">
        <v>0.32100000000000001</v>
      </c>
      <c r="AR141">
        <v>286</v>
      </c>
      <c r="AS141" s="21">
        <v>0.24</v>
      </c>
      <c r="AT141">
        <v>138</v>
      </c>
      <c r="AU141" s="21">
        <v>0.73199999999999998</v>
      </c>
      <c r="AV141">
        <v>56</v>
      </c>
      <c r="AW141">
        <v>72.7</v>
      </c>
      <c r="AX141">
        <v>117</v>
      </c>
      <c r="AY141" s="21">
        <v>0.159</v>
      </c>
      <c r="AZ141">
        <v>230</v>
      </c>
      <c r="BA141" s="21">
        <v>0.161</v>
      </c>
    </row>
    <row r="142" spans="1:53" x14ac:dyDescent="0.25">
      <c r="A142" s="1" t="s">
        <v>546</v>
      </c>
      <c r="B142">
        <v>141</v>
      </c>
      <c r="C142">
        <v>1.4</v>
      </c>
      <c r="D142">
        <v>114</v>
      </c>
      <c r="E142">
        <v>4.5999999999999996</v>
      </c>
      <c r="F142">
        <v>222</v>
      </c>
      <c r="G142">
        <v>-3.3</v>
      </c>
      <c r="H142">
        <v>194</v>
      </c>
      <c r="I142">
        <v>-2.7</v>
      </c>
      <c r="J142">
        <v>103</v>
      </c>
      <c r="K142">
        <v>1.1000000000000001</v>
      </c>
      <c r="L142">
        <v>38</v>
      </c>
      <c r="M142">
        <v>8.6999999999999993</v>
      </c>
      <c r="N142">
        <v>18</v>
      </c>
      <c r="O142">
        <v>1.5249999999999999</v>
      </c>
      <c r="P142">
        <v>112</v>
      </c>
      <c r="Q142">
        <v>1.02</v>
      </c>
      <c r="R142">
        <v>158</v>
      </c>
      <c r="S142">
        <v>0.5</v>
      </c>
      <c r="T142">
        <v>244</v>
      </c>
      <c r="U142">
        <v>0.94199999999999995</v>
      </c>
      <c r="V142">
        <v>99</v>
      </c>
      <c r="W142">
        <v>0.94199999999999995</v>
      </c>
      <c r="X142">
        <v>14</v>
      </c>
      <c r="Y142">
        <v>1.1459999999999999</v>
      </c>
      <c r="Z142">
        <v>264</v>
      </c>
      <c r="AA142">
        <v>1.069</v>
      </c>
      <c r="AB142">
        <v>4</v>
      </c>
      <c r="AC142" s="21">
        <v>0.57799999999999996</v>
      </c>
      <c r="AD142" s="21">
        <v>0.57299999999999995</v>
      </c>
      <c r="AE142">
        <v>3</v>
      </c>
      <c r="AF142">
        <v>261</v>
      </c>
      <c r="AG142" s="21">
        <v>0.52500000000000002</v>
      </c>
      <c r="AH142">
        <v>100</v>
      </c>
      <c r="AI142">
        <v>21.300999999999998</v>
      </c>
      <c r="AJ142">
        <v>246</v>
      </c>
      <c r="AK142" s="21">
        <v>0.25800000000000001</v>
      </c>
      <c r="AL142">
        <v>44</v>
      </c>
      <c r="AM142" s="21">
        <v>0.378</v>
      </c>
      <c r="AN142">
        <v>12</v>
      </c>
      <c r="AO142" s="21">
        <v>0.38300000000000001</v>
      </c>
      <c r="AP142">
        <v>278</v>
      </c>
      <c r="AQ142" s="21">
        <v>0.35399999999999998</v>
      </c>
      <c r="AR142">
        <v>355</v>
      </c>
      <c r="AS142" s="21">
        <v>0.186</v>
      </c>
      <c r="AT142">
        <v>241</v>
      </c>
      <c r="AU142" s="21">
        <v>0.71199999999999997</v>
      </c>
      <c r="AV142">
        <v>128</v>
      </c>
      <c r="AW142">
        <v>71.2</v>
      </c>
      <c r="AX142">
        <v>12</v>
      </c>
      <c r="AY142" s="21">
        <v>0.13500000000000001</v>
      </c>
      <c r="AZ142">
        <v>93</v>
      </c>
      <c r="BA142" s="21">
        <v>0.18099999999999999</v>
      </c>
    </row>
    <row r="143" spans="1:53" x14ac:dyDescent="0.25">
      <c r="A143" s="1" t="s">
        <v>109</v>
      </c>
      <c r="B143">
        <v>142</v>
      </c>
      <c r="C143">
        <v>1.4</v>
      </c>
      <c r="D143">
        <v>260</v>
      </c>
      <c r="E143">
        <v>-4.3</v>
      </c>
      <c r="F143">
        <v>129</v>
      </c>
      <c r="G143">
        <v>-0.1</v>
      </c>
      <c r="H143">
        <v>253</v>
      </c>
      <c r="I143">
        <v>-4.2</v>
      </c>
      <c r="J143">
        <v>133</v>
      </c>
      <c r="K143">
        <v>0.8</v>
      </c>
      <c r="L143">
        <v>89</v>
      </c>
      <c r="M143">
        <v>9.4</v>
      </c>
      <c r="N143">
        <v>209</v>
      </c>
      <c r="O143">
        <v>1.0680000000000001</v>
      </c>
      <c r="P143">
        <v>241</v>
      </c>
      <c r="Q143">
        <v>1.2090000000000001</v>
      </c>
      <c r="R143">
        <v>130</v>
      </c>
      <c r="S143">
        <v>0.55600000000000005</v>
      </c>
      <c r="T143">
        <v>246</v>
      </c>
      <c r="U143">
        <v>0.94099999999999995</v>
      </c>
      <c r="V143">
        <v>264</v>
      </c>
      <c r="W143">
        <v>0.97</v>
      </c>
      <c r="X143">
        <v>139</v>
      </c>
      <c r="Y143">
        <v>1.054</v>
      </c>
      <c r="Z143">
        <v>157</v>
      </c>
      <c r="AA143">
        <v>1.0269999999999999</v>
      </c>
      <c r="AB143">
        <v>84</v>
      </c>
      <c r="AC143" s="21">
        <v>0.52800000000000002</v>
      </c>
      <c r="AD143" s="21">
        <v>0.51400000000000001</v>
      </c>
      <c r="AE143">
        <v>87</v>
      </c>
      <c r="AF143">
        <v>103</v>
      </c>
      <c r="AG143" s="21">
        <v>0.49299999999999999</v>
      </c>
      <c r="AH143">
        <v>57</v>
      </c>
      <c r="AI143">
        <v>22.353999999999999</v>
      </c>
      <c r="AJ143">
        <v>132</v>
      </c>
      <c r="AK143" s="21">
        <v>0.23200000000000001</v>
      </c>
      <c r="AL143">
        <v>240</v>
      </c>
      <c r="AM143" s="21">
        <v>0.29199999999999998</v>
      </c>
      <c r="AN143">
        <v>134</v>
      </c>
      <c r="AO143" s="21">
        <v>0.34599999999999997</v>
      </c>
      <c r="AP143">
        <v>55</v>
      </c>
      <c r="AQ143" s="21">
        <v>0.315</v>
      </c>
      <c r="AR143">
        <v>217</v>
      </c>
      <c r="AS143" s="21">
        <v>0.26700000000000002</v>
      </c>
      <c r="AT143">
        <v>142</v>
      </c>
      <c r="AU143" s="21">
        <v>0.73099999999999998</v>
      </c>
      <c r="AV143">
        <v>42</v>
      </c>
      <c r="AW143">
        <v>73.2</v>
      </c>
      <c r="AX143">
        <v>232</v>
      </c>
      <c r="AY143" s="21">
        <v>0.17499999999999999</v>
      </c>
      <c r="AZ143">
        <v>258</v>
      </c>
      <c r="BA143" s="21">
        <v>0.157</v>
      </c>
    </row>
    <row r="144" spans="1:53" x14ac:dyDescent="0.25">
      <c r="A144" s="1" t="s">
        <v>547</v>
      </c>
      <c r="B144">
        <v>143</v>
      </c>
      <c r="C144">
        <v>1.3</v>
      </c>
      <c r="D144">
        <v>201</v>
      </c>
      <c r="E144">
        <v>-0.1</v>
      </c>
      <c r="F144">
        <v>139</v>
      </c>
      <c r="G144">
        <v>-0.6</v>
      </c>
      <c r="H144">
        <v>200</v>
      </c>
      <c r="I144">
        <v>-2.9</v>
      </c>
      <c r="J144">
        <v>33</v>
      </c>
      <c r="K144">
        <v>2.5</v>
      </c>
      <c r="L144">
        <v>19</v>
      </c>
      <c r="M144">
        <v>8.1999999999999993</v>
      </c>
      <c r="N144">
        <v>232</v>
      </c>
      <c r="O144">
        <v>1.0309999999999999</v>
      </c>
      <c r="P144">
        <v>332</v>
      </c>
      <c r="Q144">
        <v>1.4610000000000001</v>
      </c>
      <c r="R144">
        <v>90</v>
      </c>
      <c r="S144">
        <v>0.61499999999999999</v>
      </c>
      <c r="T144">
        <v>69</v>
      </c>
      <c r="U144">
        <v>0.98</v>
      </c>
      <c r="V144">
        <v>332</v>
      </c>
      <c r="W144">
        <v>0.98899999999999999</v>
      </c>
      <c r="X144">
        <v>149</v>
      </c>
      <c r="Y144">
        <v>1.0509999999999999</v>
      </c>
      <c r="Z144">
        <v>168</v>
      </c>
      <c r="AA144">
        <v>1.03</v>
      </c>
      <c r="AB144">
        <v>247</v>
      </c>
      <c r="AC144" s="21">
        <v>0.496</v>
      </c>
      <c r="AD144" s="21">
        <v>0.499</v>
      </c>
      <c r="AE144">
        <v>157</v>
      </c>
      <c r="AF144">
        <v>107</v>
      </c>
      <c r="AG144" s="21">
        <v>0.49399999999999999</v>
      </c>
      <c r="AH144">
        <v>128</v>
      </c>
      <c r="AI144">
        <v>20.591000000000001</v>
      </c>
      <c r="AJ144">
        <v>82</v>
      </c>
      <c r="AK144" s="21">
        <v>0.218</v>
      </c>
      <c r="AL144">
        <v>227</v>
      </c>
      <c r="AM144" s="21">
        <v>0.29699999999999999</v>
      </c>
      <c r="AN144">
        <v>191</v>
      </c>
      <c r="AO144" s="21">
        <v>0.33500000000000002</v>
      </c>
      <c r="AP144">
        <v>223</v>
      </c>
      <c r="AQ144" s="21">
        <v>0.34499999999999997</v>
      </c>
      <c r="AR144">
        <v>144</v>
      </c>
      <c r="AS144" s="21">
        <v>0.28899999999999998</v>
      </c>
      <c r="AT144">
        <v>45</v>
      </c>
      <c r="AU144" s="21">
        <v>0.754</v>
      </c>
      <c r="AV144">
        <v>311</v>
      </c>
      <c r="AW144">
        <v>67.5</v>
      </c>
      <c r="AX144">
        <v>78</v>
      </c>
      <c r="AY144" s="21">
        <v>0.153</v>
      </c>
      <c r="AZ144">
        <v>352</v>
      </c>
      <c r="BA144" s="21">
        <v>0.129</v>
      </c>
    </row>
    <row r="145" spans="1:53" x14ac:dyDescent="0.25">
      <c r="A145" s="1" t="s">
        <v>289</v>
      </c>
      <c r="B145">
        <v>144</v>
      </c>
      <c r="C145">
        <v>1.3</v>
      </c>
      <c r="D145">
        <v>132</v>
      </c>
      <c r="E145">
        <v>3.1</v>
      </c>
      <c r="F145">
        <v>86</v>
      </c>
      <c r="G145">
        <v>4.7</v>
      </c>
      <c r="H145">
        <v>119</v>
      </c>
      <c r="I145">
        <v>-0.4</v>
      </c>
      <c r="J145">
        <v>363</v>
      </c>
      <c r="K145">
        <v>-4.5999999999999996</v>
      </c>
      <c r="L145">
        <v>269</v>
      </c>
      <c r="M145">
        <v>11</v>
      </c>
      <c r="N145">
        <v>152</v>
      </c>
      <c r="O145">
        <v>1.177</v>
      </c>
      <c r="P145">
        <v>356</v>
      </c>
      <c r="Q145">
        <v>1.6140000000000001</v>
      </c>
      <c r="R145">
        <v>343</v>
      </c>
      <c r="S145">
        <v>0.16700000000000001</v>
      </c>
      <c r="T145">
        <v>152</v>
      </c>
      <c r="U145">
        <v>0.96</v>
      </c>
      <c r="V145">
        <v>275</v>
      </c>
      <c r="W145">
        <v>0.97199999999999998</v>
      </c>
      <c r="X145">
        <v>117</v>
      </c>
      <c r="Y145">
        <v>1.0629999999999999</v>
      </c>
      <c r="Z145">
        <v>359</v>
      </c>
      <c r="AA145">
        <v>1.159</v>
      </c>
      <c r="AB145">
        <v>117</v>
      </c>
      <c r="AC145" s="21">
        <v>0.51900000000000002</v>
      </c>
      <c r="AD145" s="21">
        <v>0.48699999999999999</v>
      </c>
      <c r="AE145">
        <v>223</v>
      </c>
      <c r="AF145">
        <v>362</v>
      </c>
      <c r="AG145" s="21">
        <v>0.57399999999999995</v>
      </c>
      <c r="AH145">
        <v>291</v>
      </c>
      <c r="AI145">
        <v>17.29</v>
      </c>
      <c r="AJ145">
        <v>86</v>
      </c>
      <c r="AK145" s="21">
        <v>0.219</v>
      </c>
      <c r="AL145">
        <v>241</v>
      </c>
      <c r="AM145" s="21">
        <v>0.29199999999999998</v>
      </c>
      <c r="AN145">
        <v>304</v>
      </c>
      <c r="AO145" s="21">
        <v>0.313</v>
      </c>
      <c r="AP145">
        <v>364</v>
      </c>
      <c r="AQ145" s="21">
        <v>0.39700000000000002</v>
      </c>
      <c r="AR145">
        <v>213</v>
      </c>
      <c r="AS145" s="21">
        <v>0.26800000000000002</v>
      </c>
      <c r="AT145">
        <v>208</v>
      </c>
      <c r="AU145" s="21">
        <v>0.71899999999999997</v>
      </c>
      <c r="AV145">
        <v>211</v>
      </c>
      <c r="AW145">
        <v>69.599999999999994</v>
      </c>
      <c r="AX145">
        <v>105</v>
      </c>
      <c r="AY145" s="21">
        <v>0.157</v>
      </c>
      <c r="AZ145">
        <v>318</v>
      </c>
      <c r="BA145" s="21">
        <v>0.14599999999999999</v>
      </c>
    </row>
    <row r="146" spans="1:53" x14ac:dyDescent="0.25">
      <c r="A146" s="1" t="s">
        <v>548</v>
      </c>
      <c r="B146">
        <v>145</v>
      </c>
      <c r="C146">
        <v>1.2</v>
      </c>
      <c r="D146">
        <v>8</v>
      </c>
      <c r="E146">
        <v>22.9</v>
      </c>
      <c r="F146">
        <v>186</v>
      </c>
      <c r="G146">
        <v>-2.6</v>
      </c>
      <c r="H146">
        <v>128</v>
      </c>
      <c r="I146">
        <v>-0.7</v>
      </c>
      <c r="J146">
        <v>153</v>
      </c>
      <c r="K146">
        <v>0.4</v>
      </c>
      <c r="L146">
        <v>203</v>
      </c>
      <c r="M146">
        <v>10.5</v>
      </c>
      <c r="N146">
        <v>257</v>
      </c>
      <c r="O146">
        <v>1.0069999999999999</v>
      </c>
      <c r="P146">
        <v>122</v>
      </c>
      <c r="Q146">
        <v>1.034</v>
      </c>
      <c r="R146">
        <v>158</v>
      </c>
      <c r="S146">
        <v>0.5</v>
      </c>
      <c r="T146">
        <v>62</v>
      </c>
      <c r="U146">
        <v>0.98299999999999998</v>
      </c>
      <c r="V146">
        <v>44</v>
      </c>
      <c r="W146">
        <v>0.92600000000000005</v>
      </c>
      <c r="X146">
        <v>90</v>
      </c>
      <c r="Y146">
        <v>1.0740000000000001</v>
      </c>
      <c r="Z146">
        <v>126</v>
      </c>
      <c r="AA146">
        <v>1.016</v>
      </c>
      <c r="AB146">
        <v>141</v>
      </c>
      <c r="AC146" s="21">
        <v>0.51400000000000001</v>
      </c>
      <c r="AD146" s="21">
        <v>0.496</v>
      </c>
      <c r="AE146">
        <v>175</v>
      </c>
      <c r="AF146">
        <v>221</v>
      </c>
      <c r="AG146" s="21">
        <v>0.51500000000000001</v>
      </c>
      <c r="AH146">
        <v>87</v>
      </c>
      <c r="AI146">
        <v>21.617000000000001</v>
      </c>
      <c r="AJ146">
        <v>144</v>
      </c>
      <c r="AK146" s="21">
        <v>0.23499999999999999</v>
      </c>
      <c r="AL146">
        <v>354</v>
      </c>
      <c r="AM146" s="21">
        <v>0.23300000000000001</v>
      </c>
      <c r="AN146">
        <v>270</v>
      </c>
      <c r="AO146" s="21">
        <v>0.31900000000000001</v>
      </c>
      <c r="AP146">
        <v>170</v>
      </c>
      <c r="AQ146" s="21">
        <v>0.33600000000000002</v>
      </c>
      <c r="AR146">
        <v>3</v>
      </c>
      <c r="AS146" s="21">
        <v>0.38900000000000001</v>
      </c>
      <c r="AT146">
        <v>53</v>
      </c>
      <c r="AU146" s="21">
        <v>0.752</v>
      </c>
      <c r="AV146">
        <v>117</v>
      </c>
      <c r="AW146">
        <v>71.400000000000006</v>
      </c>
      <c r="AX146">
        <v>313</v>
      </c>
      <c r="AY146" s="21">
        <v>0.19</v>
      </c>
      <c r="AZ146">
        <v>97</v>
      </c>
      <c r="BA146" s="21">
        <v>0.18</v>
      </c>
    </row>
    <row r="147" spans="1:53" x14ac:dyDescent="0.25">
      <c r="A147" s="1" t="s">
        <v>549</v>
      </c>
      <c r="B147">
        <v>146</v>
      </c>
      <c r="C147">
        <v>1</v>
      </c>
      <c r="D147">
        <v>251</v>
      </c>
      <c r="E147">
        <v>-3.6</v>
      </c>
      <c r="F147">
        <v>177</v>
      </c>
      <c r="G147">
        <v>-2.5</v>
      </c>
      <c r="H147">
        <v>178</v>
      </c>
      <c r="I147">
        <v>-2.4</v>
      </c>
      <c r="J147">
        <v>196</v>
      </c>
      <c r="K147">
        <v>-0.1</v>
      </c>
      <c r="L147">
        <v>157</v>
      </c>
      <c r="M147">
        <v>10.1</v>
      </c>
      <c r="N147">
        <v>157</v>
      </c>
      <c r="O147">
        <v>1.171</v>
      </c>
      <c r="P147">
        <v>98</v>
      </c>
      <c r="Q147">
        <v>1</v>
      </c>
      <c r="R147">
        <v>50</v>
      </c>
      <c r="S147">
        <v>0.66700000000000004</v>
      </c>
      <c r="T147">
        <v>58</v>
      </c>
      <c r="U147">
        <v>0.98299999999999998</v>
      </c>
      <c r="V147">
        <v>255</v>
      </c>
      <c r="W147">
        <v>0.96799999999999997</v>
      </c>
      <c r="X147">
        <v>133</v>
      </c>
      <c r="Y147">
        <v>1.0549999999999999</v>
      </c>
      <c r="Z147">
        <v>101</v>
      </c>
      <c r="AA147">
        <v>1.008</v>
      </c>
      <c r="AB147">
        <v>182</v>
      </c>
      <c r="AC147" s="21">
        <v>0.50700000000000001</v>
      </c>
      <c r="AD147" s="21">
        <v>0.48899999999999999</v>
      </c>
      <c r="AE147">
        <v>212</v>
      </c>
      <c r="AF147">
        <v>45</v>
      </c>
      <c r="AG147" s="21">
        <v>0.47799999999999998</v>
      </c>
      <c r="AH147">
        <v>225</v>
      </c>
      <c r="AI147">
        <v>18.812000000000001</v>
      </c>
      <c r="AJ147">
        <v>224</v>
      </c>
      <c r="AK147" s="21">
        <v>0.253</v>
      </c>
      <c r="AL147">
        <v>49</v>
      </c>
      <c r="AM147" s="21">
        <v>0.373</v>
      </c>
      <c r="AN147">
        <v>61</v>
      </c>
      <c r="AO147" s="21">
        <v>0.36199999999999999</v>
      </c>
      <c r="AP147">
        <v>39</v>
      </c>
      <c r="AQ147" s="21">
        <v>0.31</v>
      </c>
      <c r="AR147">
        <v>168</v>
      </c>
      <c r="AS147" s="21">
        <v>0.28100000000000003</v>
      </c>
      <c r="AT147">
        <v>124</v>
      </c>
      <c r="AU147" s="21">
        <v>0.73399999999999999</v>
      </c>
      <c r="AV147">
        <v>340</v>
      </c>
      <c r="AW147">
        <v>66.7</v>
      </c>
      <c r="AX147">
        <v>45</v>
      </c>
      <c r="AY147" s="21">
        <v>0.14799999999999999</v>
      </c>
      <c r="AZ147">
        <v>244</v>
      </c>
      <c r="BA147" s="21">
        <v>0.159</v>
      </c>
    </row>
    <row r="148" spans="1:53" x14ac:dyDescent="0.25">
      <c r="A148" s="1" t="s">
        <v>69</v>
      </c>
      <c r="B148">
        <v>147</v>
      </c>
      <c r="C148">
        <v>0.9</v>
      </c>
      <c r="D148">
        <v>282</v>
      </c>
      <c r="E148">
        <v>-6.1</v>
      </c>
      <c r="F148">
        <v>161</v>
      </c>
      <c r="G148">
        <v>-1.4</v>
      </c>
      <c r="H148">
        <v>96</v>
      </c>
      <c r="I148">
        <v>0.6</v>
      </c>
      <c r="J148">
        <v>31</v>
      </c>
      <c r="K148">
        <v>2.6</v>
      </c>
      <c r="L148">
        <v>61</v>
      </c>
      <c r="M148">
        <v>9.1</v>
      </c>
      <c r="N148">
        <v>195</v>
      </c>
      <c r="O148">
        <v>1.1060000000000001</v>
      </c>
      <c r="P148">
        <v>98</v>
      </c>
      <c r="Q148">
        <v>1</v>
      </c>
      <c r="R148">
        <v>12</v>
      </c>
      <c r="S148">
        <v>0.81799999999999995</v>
      </c>
      <c r="T148">
        <v>4</v>
      </c>
      <c r="U148">
        <v>1.0309999999999999</v>
      </c>
      <c r="V148">
        <v>113</v>
      </c>
      <c r="W148">
        <v>0.94499999999999995</v>
      </c>
      <c r="X148">
        <v>157</v>
      </c>
      <c r="Y148">
        <v>1.0449999999999999</v>
      </c>
      <c r="Z148">
        <v>138</v>
      </c>
      <c r="AA148">
        <v>1.02</v>
      </c>
      <c r="AB148">
        <v>303</v>
      </c>
      <c r="AC148" s="21">
        <v>0.47899999999999998</v>
      </c>
      <c r="AD148" s="21">
        <v>0.47299999999999998</v>
      </c>
      <c r="AE148">
        <v>281</v>
      </c>
      <c r="AF148">
        <v>176</v>
      </c>
      <c r="AG148" s="21">
        <v>0.50800000000000001</v>
      </c>
      <c r="AH148">
        <v>285</v>
      </c>
      <c r="AI148">
        <v>17.552</v>
      </c>
      <c r="AJ148">
        <v>122</v>
      </c>
      <c r="AK148" s="21">
        <v>0.22800000000000001</v>
      </c>
      <c r="AL148">
        <v>155</v>
      </c>
      <c r="AM148" s="21">
        <v>0.32300000000000001</v>
      </c>
      <c r="AN148">
        <v>197</v>
      </c>
      <c r="AO148" s="21">
        <v>0.33400000000000002</v>
      </c>
      <c r="AP148">
        <v>195</v>
      </c>
      <c r="AQ148" s="21">
        <v>0.34100000000000003</v>
      </c>
      <c r="AR148">
        <v>21</v>
      </c>
      <c r="AS148" s="21">
        <v>0.34200000000000003</v>
      </c>
      <c r="AT148">
        <v>94</v>
      </c>
      <c r="AU148" s="21">
        <v>0.74099999999999999</v>
      </c>
      <c r="AV148">
        <v>349</v>
      </c>
      <c r="AW148">
        <v>66.400000000000006</v>
      </c>
      <c r="AX148">
        <v>23</v>
      </c>
      <c r="AY148" s="21">
        <v>0.14199999999999999</v>
      </c>
      <c r="AZ148">
        <v>170</v>
      </c>
      <c r="BA148" s="21">
        <v>0.16900000000000001</v>
      </c>
    </row>
    <row r="149" spans="1:53" x14ac:dyDescent="0.25">
      <c r="A149" s="1" t="s">
        <v>550</v>
      </c>
      <c r="B149">
        <v>148</v>
      </c>
      <c r="C149">
        <v>0.8</v>
      </c>
      <c r="D149">
        <v>298</v>
      </c>
      <c r="E149">
        <v>-9</v>
      </c>
      <c r="F149">
        <v>137</v>
      </c>
      <c r="G149">
        <v>-0.5</v>
      </c>
      <c r="H149">
        <v>173</v>
      </c>
      <c r="I149">
        <v>-2.2000000000000002</v>
      </c>
      <c r="J149">
        <v>228</v>
      </c>
      <c r="K149">
        <v>-0.6</v>
      </c>
      <c r="L149">
        <v>348</v>
      </c>
      <c r="M149">
        <v>12.6</v>
      </c>
      <c r="N149">
        <v>220</v>
      </c>
      <c r="O149">
        <v>1.0429999999999999</v>
      </c>
      <c r="P149">
        <v>219</v>
      </c>
      <c r="Q149">
        <v>1.1830000000000001</v>
      </c>
      <c r="R149">
        <v>158</v>
      </c>
      <c r="S149">
        <v>0.5</v>
      </c>
      <c r="T149">
        <v>25</v>
      </c>
      <c r="U149">
        <v>0.999</v>
      </c>
      <c r="V149">
        <v>310</v>
      </c>
      <c r="W149">
        <v>0.98</v>
      </c>
      <c r="X149">
        <v>263</v>
      </c>
      <c r="Y149">
        <v>1.0009999999999999</v>
      </c>
      <c r="Z149">
        <v>77</v>
      </c>
      <c r="AA149">
        <v>0.99399999999999999</v>
      </c>
      <c r="AB149">
        <v>337</v>
      </c>
      <c r="AC149" s="21">
        <v>0.46200000000000002</v>
      </c>
      <c r="AD149" s="21">
        <v>0.46300000000000002</v>
      </c>
      <c r="AE149">
        <v>312</v>
      </c>
      <c r="AF149">
        <v>22</v>
      </c>
      <c r="AG149" s="21">
        <v>0.46899999999999997</v>
      </c>
      <c r="AH149">
        <v>151</v>
      </c>
      <c r="AI149">
        <v>20.186</v>
      </c>
      <c r="AJ149">
        <v>330</v>
      </c>
      <c r="AK149" s="21">
        <v>0.28499999999999998</v>
      </c>
      <c r="AL149">
        <v>229</v>
      </c>
      <c r="AM149" s="21">
        <v>0.29599999999999999</v>
      </c>
      <c r="AN149">
        <v>324</v>
      </c>
      <c r="AO149" s="21">
        <v>0.309</v>
      </c>
      <c r="AP149">
        <v>6</v>
      </c>
      <c r="AQ149" s="21">
        <v>0.29499999999999998</v>
      </c>
      <c r="AR149">
        <v>87</v>
      </c>
      <c r="AS149" s="21">
        <v>0.31</v>
      </c>
      <c r="AT149">
        <v>113</v>
      </c>
      <c r="AU149" s="21">
        <v>0.73599999999999999</v>
      </c>
      <c r="AV149">
        <v>304</v>
      </c>
      <c r="AW149">
        <v>67.599999999999994</v>
      </c>
      <c r="AX149">
        <v>73</v>
      </c>
      <c r="AY149" s="21">
        <v>0.153</v>
      </c>
      <c r="AZ149">
        <v>312</v>
      </c>
      <c r="BA149" s="21">
        <v>0.14699999999999999</v>
      </c>
    </row>
    <row r="150" spans="1:53" x14ac:dyDescent="0.25">
      <c r="A150" s="1" t="s">
        <v>551</v>
      </c>
      <c r="B150">
        <v>149</v>
      </c>
      <c r="C150">
        <v>0.7</v>
      </c>
      <c r="D150">
        <v>263</v>
      </c>
      <c r="E150">
        <v>-4.5</v>
      </c>
      <c r="F150">
        <v>201</v>
      </c>
      <c r="G150">
        <v>-2.9</v>
      </c>
      <c r="H150">
        <v>170</v>
      </c>
      <c r="I150">
        <v>-2</v>
      </c>
      <c r="J150">
        <v>273</v>
      </c>
      <c r="K150">
        <v>-1.3</v>
      </c>
      <c r="L150">
        <v>93</v>
      </c>
      <c r="M150">
        <v>9.5</v>
      </c>
      <c r="N150">
        <v>62</v>
      </c>
      <c r="O150">
        <v>1.353</v>
      </c>
      <c r="P150">
        <v>63</v>
      </c>
      <c r="Q150">
        <v>0.96299999999999997</v>
      </c>
      <c r="R150">
        <v>223</v>
      </c>
      <c r="S150">
        <v>0.44400000000000001</v>
      </c>
      <c r="T150">
        <v>209</v>
      </c>
      <c r="U150">
        <v>0.94899999999999995</v>
      </c>
      <c r="V150">
        <v>70</v>
      </c>
      <c r="W150">
        <v>0.93500000000000005</v>
      </c>
      <c r="X150">
        <v>64</v>
      </c>
      <c r="Y150">
        <v>1.0960000000000001</v>
      </c>
      <c r="Z150">
        <v>223</v>
      </c>
      <c r="AA150">
        <v>1.0529999999999999</v>
      </c>
      <c r="AB150">
        <v>42</v>
      </c>
      <c r="AC150" s="21">
        <v>0.54700000000000004</v>
      </c>
      <c r="AD150" s="21">
        <v>0.54700000000000004</v>
      </c>
      <c r="AE150">
        <v>23</v>
      </c>
      <c r="AF150">
        <v>294</v>
      </c>
      <c r="AG150" s="21">
        <v>0.53300000000000003</v>
      </c>
      <c r="AH150">
        <v>257</v>
      </c>
      <c r="AI150">
        <v>18.224</v>
      </c>
      <c r="AJ150">
        <v>78</v>
      </c>
      <c r="AK150" s="21">
        <v>0.217</v>
      </c>
      <c r="AL150">
        <v>29</v>
      </c>
      <c r="AM150" s="21">
        <v>0.38700000000000001</v>
      </c>
      <c r="AN150">
        <v>32</v>
      </c>
      <c r="AO150" s="21">
        <v>0.371</v>
      </c>
      <c r="AP150">
        <v>104</v>
      </c>
      <c r="AQ150" s="21">
        <v>0.32600000000000001</v>
      </c>
      <c r="AR150">
        <v>350</v>
      </c>
      <c r="AS150" s="21">
        <v>0.19800000000000001</v>
      </c>
      <c r="AT150">
        <v>327</v>
      </c>
      <c r="AU150" s="21">
        <v>0.68600000000000005</v>
      </c>
      <c r="AV150">
        <v>69</v>
      </c>
      <c r="AW150">
        <v>72.400000000000006</v>
      </c>
      <c r="AX150">
        <v>15</v>
      </c>
      <c r="AY150" s="21">
        <v>0.13600000000000001</v>
      </c>
      <c r="AZ150">
        <v>38</v>
      </c>
      <c r="BA150" s="21">
        <v>0.19800000000000001</v>
      </c>
    </row>
    <row r="151" spans="1:53" x14ac:dyDescent="0.25">
      <c r="A151" s="1" t="s">
        <v>6</v>
      </c>
      <c r="B151">
        <v>150</v>
      </c>
      <c r="C151">
        <v>0.7</v>
      </c>
      <c r="D151">
        <v>162</v>
      </c>
      <c r="E151">
        <v>0.6</v>
      </c>
      <c r="F151">
        <v>189</v>
      </c>
      <c r="G151">
        <v>-2.7</v>
      </c>
      <c r="H151">
        <v>208</v>
      </c>
      <c r="I151">
        <v>-3.1</v>
      </c>
      <c r="J151">
        <v>68</v>
      </c>
      <c r="K151">
        <v>1.7</v>
      </c>
      <c r="L151">
        <v>120</v>
      </c>
      <c r="M151">
        <v>9.6999999999999993</v>
      </c>
      <c r="N151">
        <v>309</v>
      </c>
      <c r="O151">
        <v>0.92</v>
      </c>
      <c r="P151">
        <v>37</v>
      </c>
      <c r="Q151">
        <v>0.91500000000000004</v>
      </c>
      <c r="R151">
        <v>5</v>
      </c>
      <c r="S151">
        <v>0.875</v>
      </c>
      <c r="T151">
        <v>206</v>
      </c>
      <c r="U151">
        <v>0.95</v>
      </c>
      <c r="V151">
        <v>108</v>
      </c>
      <c r="W151">
        <v>0.94499999999999995</v>
      </c>
      <c r="X151">
        <v>96</v>
      </c>
      <c r="Y151">
        <v>1.0720000000000001</v>
      </c>
      <c r="Z151">
        <v>183</v>
      </c>
      <c r="AA151">
        <v>1.04</v>
      </c>
      <c r="AB151">
        <v>73</v>
      </c>
      <c r="AC151" s="21">
        <v>0.53300000000000003</v>
      </c>
      <c r="AD151" s="21">
        <v>0.50800000000000001</v>
      </c>
      <c r="AE151">
        <v>107</v>
      </c>
      <c r="AF151">
        <v>214</v>
      </c>
      <c r="AG151" s="21">
        <v>0.51400000000000001</v>
      </c>
      <c r="AH151">
        <v>14</v>
      </c>
      <c r="AI151">
        <v>24.497</v>
      </c>
      <c r="AJ151">
        <v>275</v>
      </c>
      <c r="AK151" s="21">
        <v>0.26400000000000001</v>
      </c>
      <c r="AL151">
        <v>275</v>
      </c>
      <c r="AM151" s="21">
        <v>0.28100000000000003</v>
      </c>
      <c r="AN151">
        <v>180</v>
      </c>
      <c r="AO151" s="21">
        <v>0.33800000000000002</v>
      </c>
      <c r="AP151">
        <v>267</v>
      </c>
      <c r="AQ151" s="21">
        <v>0.35199999999999998</v>
      </c>
      <c r="AR151">
        <v>152</v>
      </c>
      <c r="AS151" s="21">
        <v>0.28599999999999998</v>
      </c>
      <c r="AT151">
        <v>248</v>
      </c>
      <c r="AU151" s="21">
        <v>0.71099999999999997</v>
      </c>
      <c r="AV151">
        <v>4</v>
      </c>
      <c r="AW151">
        <v>76.8</v>
      </c>
      <c r="AX151">
        <v>212</v>
      </c>
      <c r="AY151" s="21">
        <v>0.17199999999999999</v>
      </c>
      <c r="AZ151">
        <v>91</v>
      </c>
      <c r="BA151" s="21">
        <v>0.182</v>
      </c>
    </row>
    <row r="152" spans="1:53" x14ac:dyDescent="0.25">
      <c r="A152" s="1" t="s">
        <v>552</v>
      </c>
      <c r="B152">
        <v>151</v>
      </c>
      <c r="C152">
        <v>0.7</v>
      </c>
      <c r="D152">
        <v>303</v>
      </c>
      <c r="E152">
        <v>-9.9</v>
      </c>
      <c r="F152">
        <v>191</v>
      </c>
      <c r="G152">
        <v>-2.7</v>
      </c>
      <c r="H152">
        <v>236</v>
      </c>
      <c r="I152">
        <v>-3.8</v>
      </c>
      <c r="J152">
        <v>262</v>
      </c>
      <c r="K152">
        <v>-1.1000000000000001</v>
      </c>
      <c r="L152">
        <v>91</v>
      </c>
      <c r="M152">
        <v>9.4</v>
      </c>
      <c r="N152">
        <v>136</v>
      </c>
      <c r="O152">
        <v>1.2130000000000001</v>
      </c>
      <c r="P152">
        <v>64</v>
      </c>
      <c r="Q152">
        <v>0.96499999999999997</v>
      </c>
      <c r="R152">
        <v>130</v>
      </c>
      <c r="S152">
        <v>0.55600000000000005</v>
      </c>
      <c r="T152">
        <v>20</v>
      </c>
      <c r="U152">
        <v>1.004</v>
      </c>
      <c r="V152">
        <v>117</v>
      </c>
      <c r="W152">
        <v>0.94699999999999995</v>
      </c>
      <c r="X152">
        <v>111</v>
      </c>
      <c r="Y152">
        <v>1.0660000000000001</v>
      </c>
      <c r="Z152">
        <v>96</v>
      </c>
      <c r="AA152">
        <v>1.004</v>
      </c>
      <c r="AB152">
        <v>208</v>
      </c>
      <c r="AC152" s="21">
        <v>0.502</v>
      </c>
      <c r="AD152" s="21">
        <v>0.48799999999999999</v>
      </c>
      <c r="AE152">
        <v>216</v>
      </c>
      <c r="AF152">
        <v>146</v>
      </c>
      <c r="AG152" s="21">
        <v>0.503</v>
      </c>
      <c r="AH152">
        <v>202</v>
      </c>
      <c r="AI152">
        <v>19.206</v>
      </c>
      <c r="AJ152">
        <v>196</v>
      </c>
      <c r="AK152" s="21">
        <v>0.246</v>
      </c>
      <c r="AL152">
        <v>74</v>
      </c>
      <c r="AM152" s="21">
        <v>0.35499999999999998</v>
      </c>
      <c r="AN152">
        <v>127</v>
      </c>
      <c r="AO152" s="21">
        <v>0.34699999999999998</v>
      </c>
      <c r="AP152">
        <v>210</v>
      </c>
      <c r="AQ152" s="21">
        <v>0.34200000000000003</v>
      </c>
      <c r="AR152">
        <v>39</v>
      </c>
      <c r="AS152" s="21">
        <v>0.33100000000000002</v>
      </c>
      <c r="AT152">
        <v>197</v>
      </c>
      <c r="AU152" s="21">
        <v>0.72099999999999997</v>
      </c>
      <c r="AV152">
        <v>323</v>
      </c>
      <c r="AW152">
        <v>67.2</v>
      </c>
      <c r="AX152">
        <v>99</v>
      </c>
      <c r="AY152" s="21">
        <v>0.156</v>
      </c>
      <c r="AZ152">
        <v>80</v>
      </c>
      <c r="BA152" s="21">
        <v>0.184</v>
      </c>
    </row>
    <row r="153" spans="1:53" x14ac:dyDescent="0.25">
      <c r="A153" s="1" t="s">
        <v>74</v>
      </c>
      <c r="B153">
        <v>152</v>
      </c>
      <c r="C153">
        <v>0.6</v>
      </c>
      <c r="D153">
        <v>107</v>
      </c>
      <c r="E153">
        <v>5.4</v>
      </c>
      <c r="F153">
        <v>211</v>
      </c>
      <c r="G153">
        <v>-3.1</v>
      </c>
      <c r="H153">
        <v>191</v>
      </c>
      <c r="I153">
        <v>-2.7</v>
      </c>
      <c r="J153">
        <v>145</v>
      </c>
      <c r="K153">
        <v>0.6</v>
      </c>
      <c r="L153">
        <v>357</v>
      </c>
      <c r="M153">
        <v>13.2</v>
      </c>
      <c r="N153">
        <v>45</v>
      </c>
      <c r="O153">
        <v>1.4119999999999999</v>
      </c>
      <c r="P153">
        <v>343</v>
      </c>
      <c r="Q153">
        <v>1.528</v>
      </c>
      <c r="R153">
        <v>213</v>
      </c>
      <c r="S153">
        <v>0.45500000000000002</v>
      </c>
      <c r="T153">
        <v>199</v>
      </c>
      <c r="U153">
        <v>0.95099999999999996</v>
      </c>
      <c r="V153">
        <v>362</v>
      </c>
      <c r="W153">
        <v>1.0249999999999999</v>
      </c>
      <c r="X153">
        <v>8</v>
      </c>
      <c r="Y153">
        <v>1.1719999999999999</v>
      </c>
      <c r="Z153">
        <v>331</v>
      </c>
      <c r="AA153">
        <v>1.1040000000000001</v>
      </c>
      <c r="AB153">
        <v>3</v>
      </c>
      <c r="AC153" s="21">
        <v>0.58199999999999996</v>
      </c>
      <c r="AD153" s="21">
        <v>0.59199999999999997</v>
      </c>
      <c r="AE153">
        <v>2</v>
      </c>
      <c r="AF153">
        <v>208</v>
      </c>
      <c r="AG153" s="21">
        <v>0.51400000000000001</v>
      </c>
      <c r="AH153">
        <v>104</v>
      </c>
      <c r="AI153">
        <v>21.23</v>
      </c>
      <c r="AJ153">
        <v>77</v>
      </c>
      <c r="AK153" s="21">
        <v>0.217</v>
      </c>
      <c r="AL153">
        <v>2</v>
      </c>
      <c r="AM153" s="21">
        <v>0.45</v>
      </c>
      <c r="AN153">
        <v>3</v>
      </c>
      <c r="AO153" s="21">
        <v>0.39800000000000002</v>
      </c>
      <c r="AP153">
        <v>211</v>
      </c>
      <c r="AQ153" s="21">
        <v>0.34300000000000003</v>
      </c>
      <c r="AR153">
        <v>271</v>
      </c>
      <c r="AS153" s="21">
        <v>0.246</v>
      </c>
      <c r="AT153">
        <v>182</v>
      </c>
      <c r="AU153" s="21">
        <v>0.72399999999999998</v>
      </c>
      <c r="AV153">
        <v>244</v>
      </c>
      <c r="AW153">
        <v>68.900000000000006</v>
      </c>
      <c r="AX153">
        <v>77</v>
      </c>
      <c r="AY153" s="21">
        <v>0.153</v>
      </c>
      <c r="AZ153">
        <v>363</v>
      </c>
      <c r="BA153" s="21">
        <v>0.109</v>
      </c>
    </row>
    <row r="154" spans="1:53" x14ac:dyDescent="0.25">
      <c r="A154" s="1" t="s">
        <v>245</v>
      </c>
      <c r="B154">
        <v>153</v>
      </c>
      <c r="C154">
        <v>0.4</v>
      </c>
      <c r="D154">
        <v>206</v>
      </c>
      <c r="E154">
        <v>-0.5</v>
      </c>
      <c r="F154">
        <v>123</v>
      </c>
      <c r="G154">
        <v>0</v>
      </c>
      <c r="H154">
        <v>154</v>
      </c>
      <c r="I154">
        <v>-1.5</v>
      </c>
      <c r="J154">
        <v>154</v>
      </c>
      <c r="K154">
        <v>0.4</v>
      </c>
      <c r="L154">
        <v>36</v>
      </c>
      <c r="M154">
        <v>8.6999999999999993</v>
      </c>
      <c r="N154">
        <v>290</v>
      </c>
      <c r="O154">
        <v>0.94799999999999995</v>
      </c>
      <c r="P154">
        <v>315</v>
      </c>
      <c r="Q154">
        <v>1.377</v>
      </c>
      <c r="R154">
        <v>50</v>
      </c>
      <c r="S154">
        <v>0.66700000000000004</v>
      </c>
      <c r="T154">
        <v>102</v>
      </c>
      <c r="U154">
        <v>0.97</v>
      </c>
      <c r="V154">
        <v>327</v>
      </c>
      <c r="W154">
        <v>0.98699999999999999</v>
      </c>
      <c r="X154">
        <v>110</v>
      </c>
      <c r="Y154">
        <v>1.0660000000000001</v>
      </c>
      <c r="Z154">
        <v>251</v>
      </c>
      <c r="AA154">
        <v>1.0640000000000001</v>
      </c>
      <c r="AB154">
        <v>229</v>
      </c>
      <c r="AC154" s="21">
        <v>0.499</v>
      </c>
      <c r="AD154" s="21">
        <v>0.47399999999999998</v>
      </c>
      <c r="AE154">
        <v>277</v>
      </c>
      <c r="AF154">
        <v>164</v>
      </c>
      <c r="AG154" s="21">
        <v>0.50600000000000001</v>
      </c>
      <c r="AH154">
        <v>3</v>
      </c>
      <c r="AI154">
        <v>26.577000000000002</v>
      </c>
      <c r="AJ154">
        <v>291</v>
      </c>
      <c r="AK154" s="21">
        <v>0.26900000000000002</v>
      </c>
      <c r="AL154">
        <v>327</v>
      </c>
      <c r="AM154" s="21">
        <v>0.253</v>
      </c>
      <c r="AN154">
        <v>67</v>
      </c>
      <c r="AO154" s="21">
        <v>0.35799999999999998</v>
      </c>
      <c r="AP154">
        <v>143</v>
      </c>
      <c r="AQ154" s="21">
        <v>0.33300000000000002</v>
      </c>
      <c r="AR154">
        <v>157</v>
      </c>
      <c r="AS154" s="21">
        <v>0.28499999999999998</v>
      </c>
      <c r="AT154">
        <v>254</v>
      </c>
      <c r="AU154" s="21">
        <v>0.71</v>
      </c>
      <c r="AV154">
        <v>46</v>
      </c>
      <c r="AW154">
        <v>72.900000000000006</v>
      </c>
      <c r="AX154">
        <v>75</v>
      </c>
      <c r="AY154" s="21">
        <v>0.153</v>
      </c>
      <c r="AZ154">
        <v>315</v>
      </c>
      <c r="BA154" s="21">
        <v>0.14699999999999999</v>
      </c>
    </row>
    <row r="155" spans="1:53" x14ac:dyDescent="0.25">
      <c r="A155" s="1" t="s">
        <v>553</v>
      </c>
      <c r="B155">
        <v>154</v>
      </c>
      <c r="C155">
        <v>0.3</v>
      </c>
      <c r="D155">
        <v>131</v>
      </c>
      <c r="E155">
        <v>3.1</v>
      </c>
      <c r="F155">
        <v>237</v>
      </c>
      <c r="G155">
        <v>-3.7</v>
      </c>
      <c r="H155">
        <v>215</v>
      </c>
      <c r="I155">
        <v>-3.3</v>
      </c>
      <c r="J155">
        <v>18</v>
      </c>
      <c r="K155">
        <v>2.9</v>
      </c>
      <c r="L155">
        <v>101</v>
      </c>
      <c r="M155">
        <v>9.6</v>
      </c>
      <c r="N155">
        <v>104</v>
      </c>
      <c r="O155">
        <v>1.2569999999999999</v>
      </c>
      <c r="P155">
        <v>46</v>
      </c>
      <c r="Q155">
        <v>0.93</v>
      </c>
      <c r="R155">
        <v>27</v>
      </c>
      <c r="S155">
        <v>0.75</v>
      </c>
      <c r="T155">
        <v>271</v>
      </c>
      <c r="U155">
        <v>0.93500000000000005</v>
      </c>
      <c r="V155">
        <v>68</v>
      </c>
      <c r="W155">
        <v>0.93400000000000005</v>
      </c>
      <c r="X155">
        <v>83</v>
      </c>
      <c r="Y155">
        <v>1.0820000000000001</v>
      </c>
      <c r="Z155">
        <v>142</v>
      </c>
      <c r="AA155">
        <v>1.02</v>
      </c>
      <c r="AB155">
        <v>33</v>
      </c>
      <c r="AC155" s="21">
        <v>0.55400000000000005</v>
      </c>
      <c r="AD155" s="21">
        <v>0.53300000000000003</v>
      </c>
      <c r="AE155">
        <v>42</v>
      </c>
      <c r="AF155">
        <v>205</v>
      </c>
      <c r="AG155" s="21">
        <v>0.51300000000000001</v>
      </c>
      <c r="AH155">
        <v>308</v>
      </c>
      <c r="AI155">
        <v>16.795999999999999</v>
      </c>
      <c r="AJ155">
        <v>164</v>
      </c>
      <c r="AK155" s="21">
        <v>0.24</v>
      </c>
      <c r="AL155">
        <v>35</v>
      </c>
      <c r="AM155" s="21">
        <v>0.38500000000000001</v>
      </c>
      <c r="AN155">
        <v>14</v>
      </c>
      <c r="AO155" s="21">
        <v>0.38200000000000001</v>
      </c>
      <c r="AP155">
        <v>171</v>
      </c>
      <c r="AQ155" s="21">
        <v>0.33600000000000002</v>
      </c>
      <c r="AR155">
        <v>241</v>
      </c>
      <c r="AS155" s="21">
        <v>0.255</v>
      </c>
      <c r="AT155">
        <v>171</v>
      </c>
      <c r="AU155" s="21">
        <v>0.72499999999999998</v>
      </c>
      <c r="AV155">
        <v>93</v>
      </c>
      <c r="AW155">
        <v>71.8</v>
      </c>
      <c r="AX155">
        <v>204</v>
      </c>
      <c r="AY155" s="21">
        <v>0.17100000000000001</v>
      </c>
      <c r="AZ155">
        <v>72</v>
      </c>
      <c r="BA155" s="21">
        <v>0.186</v>
      </c>
    </row>
    <row r="156" spans="1:53" x14ac:dyDescent="0.25">
      <c r="A156" s="1" t="s">
        <v>71</v>
      </c>
      <c r="B156">
        <v>155</v>
      </c>
      <c r="C156">
        <v>0.3</v>
      </c>
      <c r="D156">
        <v>110</v>
      </c>
      <c r="E156">
        <v>5</v>
      </c>
      <c r="F156">
        <v>116</v>
      </c>
      <c r="G156">
        <v>0.5</v>
      </c>
      <c r="H156">
        <v>152</v>
      </c>
      <c r="I156">
        <v>-1.4</v>
      </c>
      <c r="J156">
        <v>89</v>
      </c>
      <c r="K156">
        <v>1.3</v>
      </c>
      <c r="L156">
        <v>300</v>
      </c>
      <c r="M156">
        <v>11.4</v>
      </c>
      <c r="N156">
        <v>120</v>
      </c>
      <c r="O156">
        <v>1.232</v>
      </c>
      <c r="P156">
        <v>248</v>
      </c>
      <c r="Q156">
        <v>1.2250000000000001</v>
      </c>
      <c r="R156">
        <v>27</v>
      </c>
      <c r="S156">
        <v>0.75</v>
      </c>
      <c r="T156">
        <v>197</v>
      </c>
      <c r="U156">
        <v>0.95199999999999996</v>
      </c>
      <c r="V156">
        <v>313</v>
      </c>
      <c r="W156">
        <v>0.98099999999999998</v>
      </c>
      <c r="X156">
        <v>249</v>
      </c>
      <c r="Y156">
        <v>1.008</v>
      </c>
      <c r="Z156">
        <v>172</v>
      </c>
      <c r="AA156">
        <v>1.0329999999999999</v>
      </c>
      <c r="AB156">
        <v>211</v>
      </c>
      <c r="AC156" s="21">
        <v>0.502</v>
      </c>
      <c r="AD156" s="21">
        <v>0.49</v>
      </c>
      <c r="AE156">
        <v>206</v>
      </c>
      <c r="AF156">
        <v>72</v>
      </c>
      <c r="AG156" s="21">
        <v>0.48499999999999999</v>
      </c>
      <c r="AH156">
        <v>289</v>
      </c>
      <c r="AI156">
        <v>17.393999999999998</v>
      </c>
      <c r="AJ156">
        <v>94</v>
      </c>
      <c r="AK156" s="21">
        <v>0.221</v>
      </c>
      <c r="AL156">
        <v>129</v>
      </c>
      <c r="AM156" s="21">
        <v>0.33</v>
      </c>
      <c r="AN156">
        <v>209</v>
      </c>
      <c r="AO156" s="21">
        <v>0.33100000000000002</v>
      </c>
      <c r="AP156">
        <v>68</v>
      </c>
      <c r="AQ156" s="21">
        <v>0.318</v>
      </c>
      <c r="AR156">
        <v>329</v>
      </c>
      <c r="AS156" s="21">
        <v>0.22</v>
      </c>
      <c r="AT156">
        <v>225</v>
      </c>
      <c r="AU156" s="21">
        <v>0.71599999999999997</v>
      </c>
      <c r="AV156">
        <v>205</v>
      </c>
      <c r="AW156">
        <v>69.7</v>
      </c>
      <c r="AX156">
        <v>48</v>
      </c>
      <c r="AY156" s="21">
        <v>0.14899999999999999</v>
      </c>
      <c r="AZ156">
        <v>274</v>
      </c>
      <c r="BA156" s="21">
        <v>0.155</v>
      </c>
    </row>
    <row r="157" spans="1:53" x14ac:dyDescent="0.25">
      <c r="A157" s="1" t="s">
        <v>29</v>
      </c>
      <c r="B157">
        <v>156</v>
      </c>
      <c r="C157">
        <v>0.2</v>
      </c>
      <c r="D157">
        <v>161</v>
      </c>
      <c r="E157">
        <v>0.6</v>
      </c>
      <c r="F157">
        <v>193</v>
      </c>
      <c r="G157">
        <v>-2.8</v>
      </c>
      <c r="H157">
        <v>319</v>
      </c>
      <c r="I157">
        <v>-6.8</v>
      </c>
      <c r="J157">
        <v>168</v>
      </c>
      <c r="K157">
        <v>0.2</v>
      </c>
      <c r="L157">
        <v>106</v>
      </c>
      <c r="M157">
        <v>9.6</v>
      </c>
      <c r="N157">
        <v>133</v>
      </c>
      <c r="O157">
        <v>1.2170000000000001</v>
      </c>
      <c r="P157">
        <v>80</v>
      </c>
      <c r="Q157">
        <v>0.98599999999999999</v>
      </c>
      <c r="R157">
        <v>50</v>
      </c>
      <c r="S157">
        <v>0.66700000000000004</v>
      </c>
      <c r="T157">
        <v>295</v>
      </c>
      <c r="U157">
        <v>0.93100000000000005</v>
      </c>
      <c r="V157">
        <v>122</v>
      </c>
      <c r="W157">
        <v>0.94699999999999995</v>
      </c>
      <c r="X157">
        <v>99</v>
      </c>
      <c r="Y157">
        <v>1.071</v>
      </c>
      <c r="Z157">
        <v>124</v>
      </c>
      <c r="AA157">
        <v>1.0149999999999999</v>
      </c>
      <c r="AB157">
        <v>45</v>
      </c>
      <c r="AC157" s="21">
        <v>0.54600000000000004</v>
      </c>
      <c r="AD157" s="21">
        <v>0.51</v>
      </c>
      <c r="AE157">
        <v>98</v>
      </c>
      <c r="AF157">
        <v>90</v>
      </c>
      <c r="AG157" s="21">
        <v>0.48899999999999999</v>
      </c>
      <c r="AH157">
        <v>243</v>
      </c>
      <c r="AI157">
        <v>18.559000000000001</v>
      </c>
      <c r="AJ157">
        <v>157</v>
      </c>
      <c r="AK157" s="21">
        <v>0.23799999999999999</v>
      </c>
      <c r="AL157">
        <v>9</v>
      </c>
      <c r="AM157" s="21">
        <v>0.41</v>
      </c>
      <c r="AN157">
        <v>16</v>
      </c>
      <c r="AO157" s="21">
        <v>0.38100000000000001</v>
      </c>
      <c r="AP157">
        <v>30</v>
      </c>
      <c r="AQ157" s="21">
        <v>0.308</v>
      </c>
      <c r="AR157">
        <v>246</v>
      </c>
      <c r="AS157" s="21">
        <v>0.254</v>
      </c>
      <c r="AT157">
        <v>88</v>
      </c>
      <c r="AU157" s="21">
        <v>0.74199999999999999</v>
      </c>
      <c r="AV157">
        <v>271</v>
      </c>
      <c r="AW157">
        <v>68.400000000000006</v>
      </c>
      <c r="AX157">
        <v>248</v>
      </c>
      <c r="AY157" s="21">
        <v>0.17699999999999999</v>
      </c>
      <c r="AZ157">
        <v>179</v>
      </c>
      <c r="BA157" s="21">
        <v>0.16700000000000001</v>
      </c>
    </row>
    <row r="158" spans="1:53" x14ac:dyDescent="0.25">
      <c r="A158" s="1" t="s">
        <v>204</v>
      </c>
      <c r="B158">
        <v>157</v>
      </c>
      <c r="C158">
        <v>0.2</v>
      </c>
      <c r="D158">
        <v>128</v>
      </c>
      <c r="E158">
        <v>3.2</v>
      </c>
      <c r="F158">
        <v>79</v>
      </c>
      <c r="G158">
        <v>5.9</v>
      </c>
      <c r="H158">
        <v>129</v>
      </c>
      <c r="I158">
        <v>-0.7</v>
      </c>
      <c r="J158">
        <v>327</v>
      </c>
      <c r="K158">
        <v>-2.4</v>
      </c>
      <c r="L158">
        <v>75</v>
      </c>
      <c r="M158">
        <v>9.3000000000000007</v>
      </c>
      <c r="N158">
        <v>319</v>
      </c>
      <c r="O158">
        <v>0.89800000000000002</v>
      </c>
      <c r="P158">
        <v>62</v>
      </c>
      <c r="Q158">
        <v>0.96099999999999997</v>
      </c>
      <c r="R158">
        <v>250</v>
      </c>
      <c r="S158">
        <v>0.41699999999999998</v>
      </c>
      <c r="T158">
        <v>189</v>
      </c>
      <c r="U158">
        <v>0.95399999999999996</v>
      </c>
      <c r="V158">
        <v>11</v>
      </c>
      <c r="W158">
        <v>0.90100000000000002</v>
      </c>
      <c r="X158">
        <v>355</v>
      </c>
      <c r="Y158">
        <v>0.91800000000000004</v>
      </c>
      <c r="Z158">
        <v>204</v>
      </c>
      <c r="AA158">
        <v>1.0469999999999999</v>
      </c>
      <c r="AB158">
        <v>356</v>
      </c>
      <c r="AC158" s="21">
        <v>0.44700000000000001</v>
      </c>
      <c r="AD158" s="21">
        <v>0.45900000000000002</v>
      </c>
      <c r="AE158">
        <v>328</v>
      </c>
      <c r="AF158">
        <v>338</v>
      </c>
      <c r="AG158" s="21">
        <v>0.54700000000000004</v>
      </c>
      <c r="AH158">
        <v>264</v>
      </c>
      <c r="AI158">
        <v>17.995999999999999</v>
      </c>
      <c r="AJ158">
        <v>289</v>
      </c>
      <c r="AK158" s="21">
        <v>0.26900000000000002</v>
      </c>
      <c r="AL158">
        <v>322</v>
      </c>
      <c r="AM158" s="21">
        <v>0.25600000000000001</v>
      </c>
      <c r="AN158">
        <v>313</v>
      </c>
      <c r="AO158" s="21">
        <v>0.312</v>
      </c>
      <c r="AP158">
        <v>328</v>
      </c>
      <c r="AQ158" s="21">
        <v>0.36599999999999999</v>
      </c>
      <c r="AR158">
        <v>151</v>
      </c>
      <c r="AS158" s="21">
        <v>0.28699999999999998</v>
      </c>
      <c r="AT158">
        <v>290</v>
      </c>
      <c r="AU158" s="21">
        <v>0.69799999999999995</v>
      </c>
      <c r="AV158">
        <v>327</v>
      </c>
      <c r="AW158">
        <v>67</v>
      </c>
      <c r="AX158">
        <v>302</v>
      </c>
      <c r="AY158" s="21">
        <v>0.186</v>
      </c>
      <c r="AZ158">
        <v>8</v>
      </c>
      <c r="BA158" s="21">
        <v>0.217</v>
      </c>
    </row>
    <row r="159" spans="1:53" x14ac:dyDescent="0.25">
      <c r="A159" s="1" t="s">
        <v>554</v>
      </c>
      <c r="B159">
        <v>158</v>
      </c>
      <c r="C159">
        <v>0.1</v>
      </c>
      <c r="D159">
        <v>123</v>
      </c>
      <c r="E159">
        <v>4.0999999999999996</v>
      </c>
      <c r="F159">
        <v>166</v>
      </c>
      <c r="G159">
        <v>-1.7</v>
      </c>
      <c r="H159">
        <v>115</v>
      </c>
      <c r="I159">
        <v>0</v>
      </c>
      <c r="J159">
        <v>53</v>
      </c>
      <c r="K159">
        <v>1.9</v>
      </c>
      <c r="L159">
        <v>80</v>
      </c>
      <c r="M159">
        <v>9.3000000000000007</v>
      </c>
      <c r="N159">
        <v>206</v>
      </c>
      <c r="O159">
        <v>1.079</v>
      </c>
      <c r="P159">
        <v>88</v>
      </c>
      <c r="Q159">
        <v>0.99399999999999999</v>
      </c>
      <c r="R159">
        <v>93</v>
      </c>
      <c r="S159">
        <v>0.6</v>
      </c>
      <c r="T159">
        <v>51</v>
      </c>
      <c r="U159">
        <v>0.98599999999999999</v>
      </c>
      <c r="V159">
        <v>254</v>
      </c>
      <c r="W159">
        <v>0.96799999999999997</v>
      </c>
      <c r="X159">
        <v>104</v>
      </c>
      <c r="Y159">
        <v>1.07</v>
      </c>
      <c r="Z159">
        <v>229</v>
      </c>
      <c r="AA159">
        <v>1.0549999999999999</v>
      </c>
      <c r="AB159">
        <v>183</v>
      </c>
      <c r="AC159" s="21">
        <v>0.50700000000000001</v>
      </c>
      <c r="AD159" s="21">
        <v>0.50700000000000001</v>
      </c>
      <c r="AE159">
        <v>112</v>
      </c>
      <c r="AF159">
        <v>183</v>
      </c>
      <c r="AG159" s="21">
        <v>0.50900000000000001</v>
      </c>
      <c r="AH159">
        <v>162</v>
      </c>
      <c r="AI159">
        <v>19.972999999999999</v>
      </c>
      <c r="AJ159">
        <v>212</v>
      </c>
      <c r="AK159" s="21">
        <v>0.249</v>
      </c>
      <c r="AL159">
        <v>47</v>
      </c>
      <c r="AM159" s="21">
        <v>0.373</v>
      </c>
      <c r="AN159">
        <v>150</v>
      </c>
      <c r="AO159" s="21">
        <v>0.34300000000000003</v>
      </c>
      <c r="AP159">
        <v>283</v>
      </c>
      <c r="AQ159" s="21">
        <v>0.35499999999999998</v>
      </c>
      <c r="AR159">
        <v>97</v>
      </c>
      <c r="AS159" s="21">
        <v>0.308</v>
      </c>
      <c r="AT159">
        <v>193</v>
      </c>
      <c r="AU159" s="21">
        <v>0.72099999999999997</v>
      </c>
      <c r="AV159">
        <v>309</v>
      </c>
      <c r="AW159">
        <v>67.599999999999994</v>
      </c>
      <c r="AX159">
        <v>98</v>
      </c>
      <c r="AY159" s="21">
        <v>0.156</v>
      </c>
      <c r="AZ159">
        <v>260</v>
      </c>
      <c r="BA159" s="21">
        <v>0.156</v>
      </c>
    </row>
    <row r="160" spans="1:53" x14ac:dyDescent="0.25">
      <c r="A160" s="1" t="s">
        <v>49</v>
      </c>
      <c r="B160">
        <v>159</v>
      </c>
      <c r="C160">
        <v>0</v>
      </c>
      <c r="D160">
        <v>300</v>
      </c>
      <c r="E160">
        <v>-9.1</v>
      </c>
      <c r="F160">
        <v>133</v>
      </c>
      <c r="G160">
        <v>-0.3</v>
      </c>
      <c r="H160">
        <v>148</v>
      </c>
      <c r="I160">
        <v>-1.2</v>
      </c>
      <c r="J160">
        <v>143</v>
      </c>
      <c r="K160">
        <v>0.6</v>
      </c>
      <c r="L160">
        <v>345</v>
      </c>
      <c r="M160">
        <v>12.3</v>
      </c>
      <c r="N160">
        <v>268</v>
      </c>
      <c r="O160">
        <v>0.99399999999999999</v>
      </c>
      <c r="P160">
        <v>145</v>
      </c>
      <c r="Q160">
        <v>1.0720000000000001</v>
      </c>
      <c r="R160">
        <v>77</v>
      </c>
      <c r="S160">
        <v>0.625</v>
      </c>
      <c r="T160">
        <v>216</v>
      </c>
      <c r="U160">
        <v>0.94799999999999995</v>
      </c>
      <c r="V160">
        <v>213</v>
      </c>
      <c r="W160">
        <v>0.96199999999999997</v>
      </c>
      <c r="X160">
        <v>299</v>
      </c>
      <c r="Y160">
        <v>0.98299999999999998</v>
      </c>
      <c r="Z160">
        <v>92</v>
      </c>
      <c r="AA160">
        <v>1.0029999999999999</v>
      </c>
      <c r="AB160">
        <v>306</v>
      </c>
      <c r="AC160" s="21">
        <v>0.47899999999999998</v>
      </c>
      <c r="AD160" s="21">
        <v>0.443</v>
      </c>
      <c r="AE160">
        <v>349</v>
      </c>
      <c r="AF160">
        <v>35</v>
      </c>
      <c r="AG160" s="21">
        <v>0.47399999999999998</v>
      </c>
      <c r="AH160">
        <v>205</v>
      </c>
      <c r="AI160">
        <v>19.161000000000001</v>
      </c>
      <c r="AJ160">
        <v>338</v>
      </c>
      <c r="AK160" s="21">
        <v>0.28899999999999998</v>
      </c>
      <c r="AL160">
        <v>170</v>
      </c>
      <c r="AM160" s="21">
        <v>0.318</v>
      </c>
      <c r="AN160">
        <v>277</v>
      </c>
      <c r="AO160" s="21">
        <v>0.317</v>
      </c>
      <c r="AP160">
        <v>21</v>
      </c>
      <c r="AQ160" s="21">
        <v>0.30499999999999999</v>
      </c>
      <c r="AR160">
        <v>338</v>
      </c>
      <c r="AS160" s="21">
        <v>0.21099999999999999</v>
      </c>
      <c r="AT160">
        <v>152</v>
      </c>
      <c r="AU160" s="21">
        <v>0.72899999999999998</v>
      </c>
      <c r="AV160">
        <v>12</v>
      </c>
      <c r="AW160">
        <v>74.599999999999994</v>
      </c>
      <c r="AX160">
        <v>69</v>
      </c>
      <c r="AY160" s="21">
        <v>0.152</v>
      </c>
      <c r="AZ160">
        <v>183</v>
      </c>
      <c r="BA160" s="21">
        <v>0.16700000000000001</v>
      </c>
    </row>
    <row r="161" spans="1:53" x14ac:dyDescent="0.25">
      <c r="A161" s="1" t="s">
        <v>4</v>
      </c>
      <c r="B161">
        <v>160</v>
      </c>
      <c r="C161">
        <v>-0.1</v>
      </c>
      <c r="D161">
        <v>129</v>
      </c>
      <c r="E161">
        <v>3.1</v>
      </c>
      <c r="F161">
        <v>158</v>
      </c>
      <c r="G161">
        <v>-1.3</v>
      </c>
      <c r="H161">
        <v>159</v>
      </c>
      <c r="I161">
        <v>-1.6</v>
      </c>
      <c r="J161">
        <v>30</v>
      </c>
      <c r="K161">
        <v>2.6</v>
      </c>
      <c r="L161">
        <v>302</v>
      </c>
      <c r="M161">
        <v>11.4</v>
      </c>
      <c r="N161">
        <v>50</v>
      </c>
      <c r="O161">
        <v>1.397</v>
      </c>
      <c r="P161">
        <v>171</v>
      </c>
      <c r="Q161">
        <v>1.1120000000000001</v>
      </c>
      <c r="R161">
        <v>17</v>
      </c>
      <c r="S161">
        <v>0.78600000000000003</v>
      </c>
      <c r="T161">
        <v>139</v>
      </c>
      <c r="U161">
        <v>0.96299999999999997</v>
      </c>
      <c r="V161">
        <v>37</v>
      </c>
      <c r="W161">
        <v>0.92300000000000004</v>
      </c>
      <c r="X161">
        <v>165</v>
      </c>
      <c r="Y161">
        <v>1.04</v>
      </c>
      <c r="Z161">
        <v>199</v>
      </c>
      <c r="AA161">
        <v>1.0449999999999999</v>
      </c>
      <c r="AB161">
        <v>139</v>
      </c>
      <c r="AC161" s="21">
        <v>0.51500000000000001</v>
      </c>
      <c r="AD161" s="21">
        <v>0.501</v>
      </c>
      <c r="AE161">
        <v>148</v>
      </c>
      <c r="AF161">
        <v>300</v>
      </c>
      <c r="AG161" s="21">
        <v>0.53400000000000003</v>
      </c>
      <c r="AH161">
        <v>346</v>
      </c>
      <c r="AI161">
        <v>15.052</v>
      </c>
      <c r="AJ161">
        <v>133</v>
      </c>
      <c r="AK161" s="21">
        <v>0.23200000000000001</v>
      </c>
      <c r="AL161">
        <v>3</v>
      </c>
      <c r="AM161" s="21">
        <v>0.42799999999999999</v>
      </c>
      <c r="AN161">
        <v>95</v>
      </c>
      <c r="AO161" s="21">
        <v>0.35299999999999998</v>
      </c>
      <c r="AP161">
        <v>282</v>
      </c>
      <c r="AQ161" s="21">
        <v>0.35499999999999998</v>
      </c>
      <c r="AR161">
        <v>288</v>
      </c>
      <c r="AS161" s="21">
        <v>0.24</v>
      </c>
      <c r="AT161">
        <v>11</v>
      </c>
      <c r="AU161" s="21">
        <v>0.77400000000000002</v>
      </c>
      <c r="AV161">
        <v>222</v>
      </c>
      <c r="AW161">
        <v>69.3</v>
      </c>
      <c r="AX161">
        <v>49</v>
      </c>
      <c r="AY161" s="21">
        <v>0.14899999999999999</v>
      </c>
      <c r="AZ161">
        <v>159</v>
      </c>
      <c r="BA161" s="21">
        <v>0.17</v>
      </c>
    </row>
    <row r="162" spans="1:53" x14ac:dyDescent="0.25">
      <c r="A162" s="1" t="s">
        <v>555</v>
      </c>
      <c r="B162">
        <v>161</v>
      </c>
      <c r="C162">
        <v>-0.1</v>
      </c>
      <c r="D162">
        <v>308</v>
      </c>
      <c r="E162">
        <v>-11</v>
      </c>
      <c r="F162">
        <v>125</v>
      </c>
      <c r="G162">
        <v>0</v>
      </c>
      <c r="H162">
        <v>157</v>
      </c>
      <c r="I162">
        <v>-1.6</v>
      </c>
      <c r="J162">
        <v>74</v>
      </c>
      <c r="K162">
        <v>1.5</v>
      </c>
      <c r="L162">
        <v>336</v>
      </c>
      <c r="M162">
        <v>12.1</v>
      </c>
      <c r="N162">
        <v>150</v>
      </c>
      <c r="O162">
        <v>1.18</v>
      </c>
      <c r="P162">
        <v>324</v>
      </c>
      <c r="Q162">
        <v>1.413</v>
      </c>
      <c r="R162">
        <v>142</v>
      </c>
      <c r="S162">
        <v>0.54600000000000004</v>
      </c>
      <c r="T162">
        <v>230</v>
      </c>
      <c r="U162">
        <v>0.94599999999999995</v>
      </c>
      <c r="V162">
        <v>204</v>
      </c>
      <c r="W162">
        <v>0.96099999999999997</v>
      </c>
      <c r="X162">
        <v>183</v>
      </c>
      <c r="Y162">
        <v>1.0329999999999999</v>
      </c>
      <c r="Z162">
        <v>210</v>
      </c>
      <c r="AA162">
        <v>1.05</v>
      </c>
      <c r="AB162">
        <v>159</v>
      </c>
      <c r="AC162" s="21">
        <v>0.51100000000000001</v>
      </c>
      <c r="AD162" s="21">
        <v>0.52</v>
      </c>
      <c r="AE162">
        <v>68</v>
      </c>
      <c r="AF162">
        <v>223</v>
      </c>
      <c r="AG162" s="21">
        <v>0.51600000000000001</v>
      </c>
      <c r="AH162">
        <v>133</v>
      </c>
      <c r="AI162">
        <v>20.527000000000001</v>
      </c>
      <c r="AJ162">
        <v>156</v>
      </c>
      <c r="AK162" s="21">
        <v>0.23699999999999999</v>
      </c>
      <c r="AL162">
        <v>179</v>
      </c>
      <c r="AM162" s="21">
        <v>0.315</v>
      </c>
      <c r="AN162">
        <v>164</v>
      </c>
      <c r="AO162" s="21">
        <v>0.34</v>
      </c>
      <c r="AP162">
        <v>215</v>
      </c>
      <c r="AQ162" s="21">
        <v>0.34399999999999997</v>
      </c>
      <c r="AR162">
        <v>221</v>
      </c>
      <c r="AS162" s="21">
        <v>0.26500000000000001</v>
      </c>
      <c r="AT162">
        <v>93</v>
      </c>
      <c r="AU162" s="21">
        <v>0.74099999999999999</v>
      </c>
      <c r="AV162">
        <v>99</v>
      </c>
      <c r="AW162">
        <v>71.7</v>
      </c>
      <c r="AX162">
        <v>203</v>
      </c>
      <c r="AY162" s="21">
        <v>0.17100000000000001</v>
      </c>
      <c r="AZ162">
        <v>275</v>
      </c>
      <c r="BA162" s="21">
        <v>0.154</v>
      </c>
    </row>
    <row r="163" spans="1:53" x14ac:dyDescent="0.25">
      <c r="A163" s="1" t="s">
        <v>120</v>
      </c>
      <c r="B163">
        <v>162</v>
      </c>
      <c r="C163">
        <v>-0.1</v>
      </c>
      <c r="D163">
        <v>156</v>
      </c>
      <c r="E163">
        <v>0.9</v>
      </c>
      <c r="F163">
        <v>160</v>
      </c>
      <c r="G163">
        <v>-1.4</v>
      </c>
      <c r="H163">
        <v>135</v>
      </c>
      <c r="I163">
        <v>-0.8</v>
      </c>
      <c r="J163">
        <v>218</v>
      </c>
      <c r="K163">
        <v>-0.6</v>
      </c>
      <c r="L163">
        <v>44</v>
      </c>
      <c r="M163">
        <v>8.8000000000000007</v>
      </c>
      <c r="N163">
        <v>279</v>
      </c>
      <c r="O163">
        <v>0.96599999999999997</v>
      </c>
      <c r="P163">
        <v>14</v>
      </c>
      <c r="Q163">
        <v>0.82</v>
      </c>
      <c r="R163">
        <v>116</v>
      </c>
      <c r="S163">
        <v>0.57099999999999995</v>
      </c>
      <c r="T163">
        <v>79</v>
      </c>
      <c r="U163">
        <v>0.97699999999999998</v>
      </c>
      <c r="V163">
        <v>112</v>
      </c>
      <c r="W163">
        <v>0.94499999999999995</v>
      </c>
      <c r="X163">
        <v>214</v>
      </c>
      <c r="Y163">
        <v>1.0209999999999999</v>
      </c>
      <c r="Z163">
        <v>93</v>
      </c>
      <c r="AA163">
        <v>1.0029999999999999</v>
      </c>
      <c r="AB163">
        <v>294</v>
      </c>
      <c r="AC163" s="21">
        <v>0.48299999999999998</v>
      </c>
      <c r="AD163" s="21">
        <v>0.46100000000000002</v>
      </c>
      <c r="AE163">
        <v>320</v>
      </c>
      <c r="AF163">
        <v>141</v>
      </c>
      <c r="AG163" s="21">
        <v>0.501</v>
      </c>
      <c r="AH163">
        <v>201</v>
      </c>
      <c r="AI163">
        <v>19.297000000000001</v>
      </c>
      <c r="AJ163">
        <v>176</v>
      </c>
      <c r="AK163" s="21">
        <v>0.24299999999999999</v>
      </c>
      <c r="AL163">
        <v>277</v>
      </c>
      <c r="AM163" s="21">
        <v>0.28000000000000003</v>
      </c>
      <c r="AN163">
        <v>278</v>
      </c>
      <c r="AO163" s="21">
        <v>0.317</v>
      </c>
      <c r="AP163">
        <v>132</v>
      </c>
      <c r="AQ163" s="21">
        <v>0.33200000000000002</v>
      </c>
      <c r="AR163">
        <v>56</v>
      </c>
      <c r="AS163" s="21">
        <v>0.32300000000000001</v>
      </c>
      <c r="AT163">
        <v>170</v>
      </c>
      <c r="AU163" s="21">
        <v>0.72499999999999998</v>
      </c>
      <c r="AV163">
        <v>201</v>
      </c>
      <c r="AW163">
        <v>69.8</v>
      </c>
      <c r="AX163">
        <v>214</v>
      </c>
      <c r="AY163" s="21">
        <v>0.17299999999999999</v>
      </c>
      <c r="AZ163">
        <v>113</v>
      </c>
      <c r="BA163" s="21">
        <v>0.17699999999999999</v>
      </c>
    </row>
    <row r="164" spans="1:53" x14ac:dyDescent="0.25">
      <c r="A164" s="1" t="s">
        <v>73</v>
      </c>
      <c r="B164">
        <v>163</v>
      </c>
      <c r="C164">
        <v>-0.1</v>
      </c>
      <c r="D164">
        <v>199</v>
      </c>
      <c r="E164">
        <v>0</v>
      </c>
      <c r="F164">
        <v>130</v>
      </c>
      <c r="G164">
        <v>-0.2</v>
      </c>
      <c r="H164">
        <v>164</v>
      </c>
      <c r="I164">
        <v>-1.9</v>
      </c>
      <c r="J164">
        <v>39</v>
      </c>
      <c r="K164">
        <v>2.4</v>
      </c>
      <c r="L164">
        <v>110</v>
      </c>
      <c r="M164">
        <v>9.6</v>
      </c>
      <c r="N164">
        <v>325</v>
      </c>
      <c r="O164">
        <v>0.88400000000000001</v>
      </c>
      <c r="P164">
        <v>238</v>
      </c>
      <c r="Q164">
        <v>1.204</v>
      </c>
      <c r="R164">
        <v>150</v>
      </c>
      <c r="S164">
        <v>0.53900000000000003</v>
      </c>
      <c r="T164">
        <v>251</v>
      </c>
      <c r="U164">
        <v>0.94</v>
      </c>
      <c r="V164">
        <v>236</v>
      </c>
      <c r="W164">
        <v>0.96599999999999997</v>
      </c>
      <c r="X164">
        <v>246</v>
      </c>
      <c r="Y164">
        <v>1.0089999999999999</v>
      </c>
      <c r="Z164">
        <v>118</v>
      </c>
      <c r="AA164">
        <v>1.014</v>
      </c>
      <c r="AB164">
        <v>258</v>
      </c>
      <c r="AC164" s="21">
        <v>0.49299999999999999</v>
      </c>
      <c r="AD164" s="21">
        <v>0.48699999999999999</v>
      </c>
      <c r="AE164">
        <v>223</v>
      </c>
      <c r="AF164">
        <v>62</v>
      </c>
      <c r="AG164" s="21">
        <v>0.48299999999999998</v>
      </c>
      <c r="AH164">
        <v>51</v>
      </c>
      <c r="AI164">
        <v>22.56</v>
      </c>
      <c r="AJ164">
        <v>356</v>
      </c>
      <c r="AK164" s="21">
        <v>0.307</v>
      </c>
      <c r="AL164">
        <v>139</v>
      </c>
      <c r="AM164" s="21">
        <v>0.32900000000000001</v>
      </c>
      <c r="AN164">
        <v>330</v>
      </c>
      <c r="AO164" s="21">
        <v>0.30599999999999999</v>
      </c>
      <c r="AP164">
        <v>99</v>
      </c>
      <c r="AQ164" s="21">
        <v>0.32500000000000001</v>
      </c>
      <c r="AR164">
        <v>101</v>
      </c>
      <c r="AS164" s="21">
        <v>0.30599999999999999</v>
      </c>
      <c r="AT164">
        <v>60</v>
      </c>
      <c r="AU164" s="21">
        <v>0.749</v>
      </c>
      <c r="AV164">
        <v>44</v>
      </c>
      <c r="AW164">
        <v>73</v>
      </c>
      <c r="AX164">
        <v>323</v>
      </c>
      <c r="AY164" s="21">
        <v>0.192</v>
      </c>
      <c r="AZ164">
        <v>311</v>
      </c>
      <c r="BA164" s="21">
        <v>0.14799999999999999</v>
      </c>
    </row>
    <row r="165" spans="1:53" x14ac:dyDescent="0.25">
      <c r="A165" s="1" t="s">
        <v>556</v>
      </c>
      <c r="B165">
        <v>164</v>
      </c>
      <c r="C165">
        <v>-0.3</v>
      </c>
      <c r="D165">
        <v>105</v>
      </c>
      <c r="E165">
        <v>5.7</v>
      </c>
      <c r="F165">
        <v>93</v>
      </c>
      <c r="G165">
        <v>3.3</v>
      </c>
      <c r="H165">
        <v>219</v>
      </c>
      <c r="I165">
        <v>-3.4</v>
      </c>
      <c r="J165">
        <v>141</v>
      </c>
      <c r="K165">
        <v>0.6</v>
      </c>
      <c r="L165">
        <v>216</v>
      </c>
      <c r="M165">
        <v>10.5</v>
      </c>
      <c r="N165">
        <v>281</v>
      </c>
      <c r="O165">
        <v>0.96499999999999997</v>
      </c>
      <c r="P165">
        <v>236</v>
      </c>
      <c r="Q165">
        <v>1.2030000000000001</v>
      </c>
      <c r="R165">
        <v>41</v>
      </c>
      <c r="S165">
        <v>0.71399999999999997</v>
      </c>
      <c r="T165">
        <v>188</v>
      </c>
      <c r="U165">
        <v>0.95399999999999996</v>
      </c>
      <c r="V165">
        <v>286</v>
      </c>
      <c r="W165">
        <v>0.97299999999999998</v>
      </c>
      <c r="X165">
        <v>264</v>
      </c>
      <c r="Y165">
        <v>1.0009999999999999</v>
      </c>
      <c r="Z165">
        <v>282</v>
      </c>
      <c r="AA165">
        <v>1.0780000000000001</v>
      </c>
      <c r="AB165">
        <v>272</v>
      </c>
      <c r="AC165" s="21">
        <v>0.48899999999999999</v>
      </c>
      <c r="AD165" s="21">
        <v>0.49099999999999999</v>
      </c>
      <c r="AE165">
        <v>200</v>
      </c>
      <c r="AF165">
        <v>238</v>
      </c>
      <c r="AG165" s="21">
        <v>0.51900000000000002</v>
      </c>
      <c r="AH165">
        <v>226</v>
      </c>
      <c r="AI165">
        <v>18.809000000000001</v>
      </c>
      <c r="AJ165">
        <v>304</v>
      </c>
      <c r="AK165" s="21">
        <v>0.27200000000000002</v>
      </c>
      <c r="AL165">
        <v>267</v>
      </c>
      <c r="AM165" s="21">
        <v>0.28299999999999997</v>
      </c>
      <c r="AN165">
        <v>141</v>
      </c>
      <c r="AO165" s="21">
        <v>0.34499999999999997</v>
      </c>
      <c r="AP165">
        <v>271</v>
      </c>
      <c r="AQ165" s="21">
        <v>0.35199999999999998</v>
      </c>
      <c r="AR165">
        <v>218</v>
      </c>
      <c r="AS165" s="21">
        <v>0.26700000000000002</v>
      </c>
      <c r="AT165">
        <v>205</v>
      </c>
      <c r="AU165" s="21">
        <v>0.71899999999999997</v>
      </c>
      <c r="AV165">
        <v>180</v>
      </c>
      <c r="AW165">
        <v>70.3</v>
      </c>
      <c r="AX165">
        <v>188</v>
      </c>
      <c r="AY165" s="21">
        <v>0.16900000000000001</v>
      </c>
      <c r="AZ165">
        <v>292</v>
      </c>
      <c r="BA165" s="21">
        <v>0.151</v>
      </c>
    </row>
    <row r="166" spans="1:53" x14ac:dyDescent="0.25">
      <c r="A166" s="1" t="s">
        <v>557</v>
      </c>
      <c r="B166">
        <v>165</v>
      </c>
      <c r="C166">
        <v>-0.3</v>
      </c>
      <c r="D166">
        <v>127</v>
      </c>
      <c r="E166">
        <v>3.2</v>
      </c>
      <c r="F166">
        <v>141</v>
      </c>
      <c r="G166">
        <v>-0.8</v>
      </c>
      <c r="H166">
        <v>213</v>
      </c>
      <c r="I166">
        <v>-3.2</v>
      </c>
      <c r="J166">
        <v>114</v>
      </c>
      <c r="K166">
        <v>1</v>
      </c>
      <c r="L166">
        <v>220</v>
      </c>
      <c r="M166">
        <v>10.6</v>
      </c>
      <c r="N166">
        <v>217</v>
      </c>
      <c r="O166">
        <v>1.054</v>
      </c>
      <c r="P166">
        <v>58</v>
      </c>
      <c r="Q166">
        <v>0.95499999999999996</v>
      </c>
      <c r="R166">
        <v>142</v>
      </c>
      <c r="S166">
        <v>0.54600000000000004</v>
      </c>
      <c r="T166">
        <v>255</v>
      </c>
      <c r="U166">
        <v>0.93899999999999995</v>
      </c>
      <c r="V166">
        <v>24</v>
      </c>
      <c r="W166">
        <v>0.91700000000000004</v>
      </c>
      <c r="X166">
        <v>256</v>
      </c>
      <c r="Y166">
        <v>1.006</v>
      </c>
      <c r="Z166">
        <v>140</v>
      </c>
      <c r="AA166">
        <v>1.02</v>
      </c>
      <c r="AB166">
        <v>260</v>
      </c>
      <c r="AC166" s="21">
        <v>0.49299999999999999</v>
      </c>
      <c r="AD166" s="21">
        <v>0.48799999999999999</v>
      </c>
      <c r="AE166">
        <v>216</v>
      </c>
      <c r="AF166">
        <v>256</v>
      </c>
      <c r="AG166" s="21">
        <v>0.52400000000000002</v>
      </c>
      <c r="AH166">
        <v>97</v>
      </c>
      <c r="AI166">
        <v>21.373000000000001</v>
      </c>
      <c r="AJ166">
        <v>298</v>
      </c>
      <c r="AK166" s="21">
        <v>0.27100000000000002</v>
      </c>
      <c r="AL166">
        <v>219</v>
      </c>
      <c r="AM166" s="21">
        <v>0.30099999999999999</v>
      </c>
      <c r="AN166">
        <v>133</v>
      </c>
      <c r="AO166" s="21">
        <v>0.34599999999999997</v>
      </c>
      <c r="AP166">
        <v>156</v>
      </c>
      <c r="AQ166" s="21">
        <v>0.33400000000000002</v>
      </c>
      <c r="AR166">
        <v>308</v>
      </c>
      <c r="AS166" s="21">
        <v>0.23300000000000001</v>
      </c>
      <c r="AT166">
        <v>299</v>
      </c>
      <c r="AU166" s="21">
        <v>0.69599999999999995</v>
      </c>
      <c r="AV166">
        <v>157</v>
      </c>
      <c r="AW166">
        <v>70.7</v>
      </c>
      <c r="AX166">
        <v>179</v>
      </c>
      <c r="AY166" s="21">
        <v>0.16700000000000001</v>
      </c>
      <c r="AZ166">
        <v>17</v>
      </c>
      <c r="BA166" s="21">
        <v>0.21</v>
      </c>
    </row>
    <row r="167" spans="1:53" x14ac:dyDescent="0.25">
      <c r="A167" s="1" t="s">
        <v>558</v>
      </c>
      <c r="B167">
        <v>166</v>
      </c>
      <c r="C167">
        <v>-0.4</v>
      </c>
      <c r="D167">
        <v>242</v>
      </c>
      <c r="E167">
        <v>-3.1</v>
      </c>
      <c r="F167">
        <v>256</v>
      </c>
      <c r="G167">
        <v>-4.3</v>
      </c>
      <c r="H167">
        <v>254</v>
      </c>
      <c r="I167">
        <v>-4.2</v>
      </c>
      <c r="J167">
        <v>310</v>
      </c>
      <c r="K167">
        <v>-1.9</v>
      </c>
      <c r="L167">
        <v>23</v>
      </c>
      <c r="M167">
        <v>8.3000000000000007</v>
      </c>
      <c r="N167">
        <v>165</v>
      </c>
      <c r="O167">
        <v>1.1559999999999999</v>
      </c>
      <c r="P167">
        <v>124</v>
      </c>
      <c r="Q167">
        <v>1.0409999999999999</v>
      </c>
      <c r="R167">
        <v>279</v>
      </c>
      <c r="S167">
        <v>0.33300000000000002</v>
      </c>
      <c r="T167">
        <v>176</v>
      </c>
      <c r="U167">
        <v>0.95699999999999996</v>
      </c>
      <c r="V167">
        <v>167</v>
      </c>
      <c r="W167">
        <v>0.95499999999999996</v>
      </c>
      <c r="X167">
        <v>151</v>
      </c>
      <c r="Y167">
        <v>1.0489999999999999</v>
      </c>
      <c r="Z167">
        <v>121</v>
      </c>
      <c r="AA167">
        <v>1.0149999999999999</v>
      </c>
      <c r="AB167">
        <v>87</v>
      </c>
      <c r="AC167" s="21">
        <v>0.52800000000000002</v>
      </c>
      <c r="AD167" s="21">
        <v>0.502</v>
      </c>
      <c r="AE167">
        <v>141</v>
      </c>
      <c r="AF167">
        <v>133</v>
      </c>
      <c r="AG167" s="21">
        <v>0.499</v>
      </c>
      <c r="AH167">
        <v>237</v>
      </c>
      <c r="AI167">
        <v>18.670000000000002</v>
      </c>
      <c r="AJ167">
        <v>329</v>
      </c>
      <c r="AK167" s="21">
        <v>0.28499999999999998</v>
      </c>
      <c r="AL167">
        <v>348</v>
      </c>
      <c r="AM167" s="21">
        <v>0.23699999999999999</v>
      </c>
      <c r="AN167">
        <v>126</v>
      </c>
      <c r="AO167" s="21">
        <v>0.34699999999999998</v>
      </c>
      <c r="AP167">
        <v>255</v>
      </c>
      <c r="AQ167" s="21">
        <v>0.35</v>
      </c>
      <c r="AR167">
        <v>121</v>
      </c>
      <c r="AS167" s="21">
        <v>0.29699999999999999</v>
      </c>
      <c r="AT167">
        <v>247</v>
      </c>
      <c r="AU167" s="21">
        <v>0.71099999999999997</v>
      </c>
      <c r="AV167">
        <v>232</v>
      </c>
      <c r="AW167">
        <v>69.099999999999994</v>
      </c>
      <c r="AX167">
        <v>218</v>
      </c>
      <c r="AY167" s="21">
        <v>0.17299999999999999</v>
      </c>
      <c r="AZ167">
        <v>106</v>
      </c>
      <c r="BA167" s="21">
        <v>0.17799999999999999</v>
      </c>
    </row>
    <row r="168" spans="1:53" x14ac:dyDescent="0.25">
      <c r="A168" s="1" t="s">
        <v>211</v>
      </c>
      <c r="B168">
        <v>167</v>
      </c>
      <c r="C168">
        <v>-0.4</v>
      </c>
      <c r="D168">
        <v>213</v>
      </c>
      <c r="E168">
        <v>-1</v>
      </c>
      <c r="F168">
        <v>159</v>
      </c>
      <c r="G168">
        <v>-1.4</v>
      </c>
      <c r="H168">
        <v>273</v>
      </c>
      <c r="I168">
        <v>-4.9000000000000004</v>
      </c>
      <c r="J168">
        <v>83</v>
      </c>
      <c r="K168">
        <v>1.3</v>
      </c>
      <c r="L168">
        <v>77</v>
      </c>
      <c r="M168">
        <v>9.3000000000000007</v>
      </c>
      <c r="N168">
        <v>140</v>
      </c>
      <c r="O168">
        <v>1.2050000000000001</v>
      </c>
      <c r="P168">
        <v>247</v>
      </c>
      <c r="Q168">
        <v>1.222</v>
      </c>
      <c r="R168">
        <v>108</v>
      </c>
      <c r="S168">
        <v>0.58299999999999996</v>
      </c>
      <c r="T168">
        <v>21</v>
      </c>
      <c r="U168">
        <v>1.004</v>
      </c>
      <c r="V168">
        <v>189</v>
      </c>
      <c r="W168">
        <v>0.95799999999999996</v>
      </c>
      <c r="X168">
        <v>131</v>
      </c>
      <c r="Y168">
        <v>1.0549999999999999</v>
      </c>
      <c r="Z168">
        <v>225</v>
      </c>
      <c r="AA168">
        <v>1.054</v>
      </c>
      <c r="AB168">
        <v>289</v>
      </c>
      <c r="AC168" s="21">
        <v>0.48399999999999999</v>
      </c>
      <c r="AD168" s="21">
        <v>0.48499999999999999</v>
      </c>
      <c r="AE168">
        <v>232</v>
      </c>
      <c r="AF168">
        <v>231</v>
      </c>
      <c r="AG168" s="21">
        <v>0.51700000000000002</v>
      </c>
      <c r="AH168">
        <v>63</v>
      </c>
      <c r="AI168">
        <v>22.119</v>
      </c>
      <c r="AJ168">
        <v>138</v>
      </c>
      <c r="AK168" s="21">
        <v>0.23300000000000001</v>
      </c>
      <c r="AL168">
        <v>305</v>
      </c>
      <c r="AM168" s="21">
        <v>0.26900000000000002</v>
      </c>
      <c r="AN168">
        <v>310</v>
      </c>
      <c r="AO168" s="21">
        <v>0.312</v>
      </c>
      <c r="AP168">
        <v>358</v>
      </c>
      <c r="AQ168" s="21">
        <v>0.38400000000000001</v>
      </c>
      <c r="AR168">
        <v>49</v>
      </c>
      <c r="AS168" s="21">
        <v>0.32600000000000001</v>
      </c>
      <c r="AT168">
        <v>251</v>
      </c>
      <c r="AU168" s="21">
        <v>0.71</v>
      </c>
      <c r="AV168">
        <v>189</v>
      </c>
      <c r="AW168">
        <v>70.099999999999994</v>
      </c>
      <c r="AX168">
        <v>72</v>
      </c>
      <c r="AY168" s="21">
        <v>0.153</v>
      </c>
      <c r="AZ168">
        <v>158</v>
      </c>
      <c r="BA168" s="21">
        <v>0.17</v>
      </c>
    </row>
    <row r="169" spans="1:53" x14ac:dyDescent="0.25">
      <c r="A169" s="1" t="s">
        <v>194</v>
      </c>
      <c r="B169">
        <v>168</v>
      </c>
      <c r="C169">
        <v>-0.4</v>
      </c>
      <c r="D169">
        <v>147</v>
      </c>
      <c r="E169">
        <v>1.9</v>
      </c>
      <c r="F169">
        <v>195</v>
      </c>
      <c r="G169">
        <v>-2.8</v>
      </c>
      <c r="H169">
        <v>143</v>
      </c>
      <c r="I169">
        <v>-1</v>
      </c>
      <c r="J169">
        <v>272</v>
      </c>
      <c r="K169">
        <v>-1.3</v>
      </c>
      <c r="L169">
        <v>162</v>
      </c>
      <c r="M169">
        <v>10.199999999999999</v>
      </c>
      <c r="N169">
        <v>199</v>
      </c>
      <c r="O169">
        <v>1.0920000000000001</v>
      </c>
      <c r="P169">
        <v>250</v>
      </c>
      <c r="Q169">
        <v>1.23</v>
      </c>
      <c r="R169">
        <v>158</v>
      </c>
      <c r="S169">
        <v>0.5</v>
      </c>
      <c r="T169">
        <v>193</v>
      </c>
      <c r="U169">
        <v>0.95299999999999996</v>
      </c>
      <c r="V169">
        <v>343</v>
      </c>
      <c r="W169">
        <v>0.99399999999999999</v>
      </c>
      <c r="X169">
        <v>272</v>
      </c>
      <c r="Y169">
        <v>0.998</v>
      </c>
      <c r="Z169">
        <v>50</v>
      </c>
      <c r="AA169">
        <v>0.97899999999999998</v>
      </c>
      <c r="AB169">
        <v>241</v>
      </c>
      <c r="AC169" s="21">
        <v>0.497</v>
      </c>
      <c r="AD169" s="21">
        <v>0.47499999999999998</v>
      </c>
      <c r="AE169">
        <v>273</v>
      </c>
      <c r="AF169">
        <v>12</v>
      </c>
      <c r="AG169" s="21">
        <v>0.46100000000000002</v>
      </c>
      <c r="AH169">
        <v>230</v>
      </c>
      <c r="AI169">
        <v>18.77</v>
      </c>
      <c r="AJ169">
        <v>8</v>
      </c>
      <c r="AK169" s="21">
        <v>0.17599999999999999</v>
      </c>
      <c r="AL169">
        <v>104</v>
      </c>
      <c r="AM169" s="21">
        <v>0.34300000000000003</v>
      </c>
      <c r="AN169">
        <v>168</v>
      </c>
      <c r="AO169" s="21">
        <v>0.34</v>
      </c>
      <c r="AP169">
        <v>10</v>
      </c>
      <c r="AQ169" s="21">
        <v>0.29799999999999999</v>
      </c>
      <c r="AR169">
        <v>267</v>
      </c>
      <c r="AS169" s="21">
        <v>0.247</v>
      </c>
      <c r="AT169">
        <v>149</v>
      </c>
      <c r="AU169" s="21">
        <v>0.73</v>
      </c>
      <c r="AV169">
        <v>355</v>
      </c>
      <c r="AW169">
        <v>66</v>
      </c>
      <c r="AX169">
        <v>158</v>
      </c>
      <c r="AY169" s="21">
        <v>0.16400000000000001</v>
      </c>
      <c r="AZ169">
        <v>328</v>
      </c>
      <c r="BA169" s="21">
        <v>0.14299999999999999</v>
      </c>
    </row>
    <row r="170" spans="1:53" x14ac:dyDescent="0.25">
      <c r="A170" s="1" t="s">
        <v>102</v>
      </c>
      <c r="B170">
        <v>169</v>
      </c>
      <c r="C170">
        <v>-0.5</v>
      </c>
      <c r="D170">
        <v>339</v>
      </c>
      <c r="E170">
        <v>-16.3</v>
      </c>
      <c r="F170">
        <v>144</v>
      </c>
      <c r="G170">
        <v>-0.9</v>
      </c>
      <c r="H170">
        <v>99</v>
      </c>
      <c r="I170">
        <v>0.6</v>
      </c>
      <c r="J170">
        <v>6</v>
      </c>
      <c r="K170">
        <v>4</v>
      </c>
      <c r="L170">
        <v>217</v>
      </c>
      <c r="M170">
        <v>10.6</v>
      </c>
      <c r="N170">
        <v>175</v>
      </c>
      <c r="O170">
        <v>1.135</v>
      </c>
      <c r="P170">
        <v>259</v>
      </c>
      <c r="Q170">
        <v>1.2450000000000001</v>
      </c>
      <c r="R170">
        <v>8</v>
      </c>
      <c r="S170">
        <v>0.84599999999999997</v>
      </c>
      <c r="T170">
        <v>61</v>
      </c>
      <c r="U170">
        <v>0.98299999999999998</v>
      </c>
      <c r="V170">
        <v>212</v>
      </c>
      <c r="W170">
        <v>0.96199999999999997</v>
      </c>
      <c r="X170">
        <v>150</v>
      </c>
      <c r="Y170">
        <v>1.05</v>
      </c>
      <c r="Z170">
        <v>239</v>
      </c>
      <c r="AA170">
        <v>1.0589999999999999</v>
      </c>
      <c r="AB170">
        <v>249</v>
      </c>
      <c r="AC170" s="21">
        <v>0.495</v>
      </c>
      <c r="AD170" s="21">
        <v>0.47299999999999998</v>
      </c>
      <c r="AE170">
        <v>281</v>
      </c>
      <c r="AF170">
        <v>215</v>
      </c>
      <c r="AG170" s="21">
        <v>0.51400000000000001</v>
      </c>
      <c r="AH170">
        <v>207</v>
      </c>
      <c r="AI170">
        <v>19.126000000000001</v>
      </c>
      <c r="AJ170">
        <v>204</v>
      </c>
      <c r="AK170" s="21">
        <v>0.248</v>
      </c>
      <c r="AL170">
        <v>81</v>
      </c>
      <c r="AM170" s="21">
        <v>0.35099999999999998</v>
      </c>
      <c r="AN170">
        <v>190</v>
      </c>
      <c r="AO170" s="21">
        <v>0.33500000000000002</v>
      </c>
      <c r="AP170">
        <v>216</v>
      </c>
      <c r="AQ170" s="21">
        <v>0.34399999999999997</v>
      </c>
      <c r="AR170">
        <v>112</v>
      </c>
      <c r="AS170" s="21">
        <v>0.3</v>
      </c>
      <c r="AT170">
        <v>110</v>
      </c>
      <c r="AU170" s="21">
        <v>0.73699999999999999</v>
      </c>
      <c r="AV170">
        <v>120</v>
      </c>
      <c r="AW170">
        <v>71.3</v>
      </c>
      <c r="AX170">
        <v>85</v>
      </c>
      <c r="AY170" s="21">
        <v>0.155</v>
      </c>
      <c r="AZ170">
        <v>279</v>
      </c>
      <c r="BA170" s="21">
        <v>0.153</v>
      </c>
    </row>
    <row r="171" spans="1:53" x14ac:dyDescent="0.25">
      <c r="A171" s="1" t="s">
        <v>99</v>
      </c>
      <c r="B171">
        <v>170</v>
      </c>
      <c r="C171">
        <v>-0.5</v>
      </c>
      <c r="D171">
        <v>249</v>
      </c>
      <c r="E171">
        <v>-3.5</v>
      </c>
      <c r="F171">
        <v>203</v>
      </c>
      <c r="G171">
        <v>-3</v>
      </c>
      <c r="H171">
        <v>182</v>
      </c>
      <c r="I171">
        <v>-2.4</v>
      </c>
      <c r="J171">
        <v>345</v>
      </c>
      <c r="K171">
        <v>-2.9</v>
      </c>
      <c r="L171">
        <v>107</v>
      </c>
      <c r="M171">
        <v>9.6</v>
      </c>
      <c r="N171">
        <v>98</v>
      </c>
      <c r="O171">
        <v>1.2689999999999999</v>
      </c>
      <c r="P171">
        <v>111</v>
      </c>
      <c r="Q171">
        <v>1.018</v>
      </c>
      <c r="R171">
        <v>251</v>
      </c>
      <c r="S171">
        <v>0.4</v>
      </c>
      <c r="T171">
        <v>250</v>
      </c>
      <c r="U171">
        <v>0.94</v>
      </c>
      <c r="V171">
        <v>81</v>
      </c>
      <c r="W171">
        <v>0.93700000000000006</v>
      </c>
      <c r="X171">
        <v>105</v>
      </c>
      <c r="Y171">
        <v>1.069</v>
      </c>
      <c r="Z171">
        <v>200</v>
      </c>
      <c r="AA171">
        <v>1.046</v>
      </c>
      <c r="AB171">
        <v>71</v>
      </c>
      <c r="AC171" s="21">
        <v>0.53400000000000003</v>
      </c>
      <c r="AD171" s="21">
        <v>0.505</v>
      </c>
      <c r="AE171">
        <v>123</v>
      </c>
      <c r="AF171">
        <v>253</v>
      </c>
      <c r="AG171" s="21">
        <v>0.52300000000000002</v>
      </c>
      <c r="AH171">
        <v>124</v>
      </c>
      <c r="AI171">
        <v>20.719000000000001</v>
      </c>
      <c r="AJ171">
        <v>270</v>
      </c>
      <c r="AK171" s="21">
        <v>0.26300000000000001</v>
      </c>
      <c r="AL171">
        <v>169</v>
      </c>
      <c r="AM171" s="21">
        <v>0.318</v>
      </c>
      <c r="AN171">
        <v>109</v>
      </c>
      <c r="AO171" s="21">
        <v>0.35</v>
      </c>
      <c r="AP171">
        <v>349</v>
      </c>
      <c r="AQ171" s="21">
        <v>0.376</v>
      </c>
      <c r="AR171">
        <v>343</v>
      </c>
      <c r="AS171" s="21">
        <v>0.20599999999999999</v>
      </c>
      <c r="AT171">
        <v>134</v>
      </c>
      <c r="AU171" s="21">
        <v>0.73199999999999998</v>
      </c>
      <c r="AV171">
        <v>24</v>
      </c>
      <c r="AW171">
        <v>74</v>
      </c>
      <c r="AX171">
        <v>35</v>
      </c>
      <c r="AY171" s="21">
        <v>0.14599999999999999</v>
      </c>
      <c r="AZ171">
        <v>134</v>
      </c>
      <c r="BA171" s="21">
        <v>0.17299999999999999</v>
      </c>
    </row>
    <row r="172" spans="1:53" x14ac:dyDescent="0.25">
      <c r="A172" s="1" t="s">
        <v>396</v>
      </c>
      <c r="B172">
        <v>171</v>
      </c>
      <c r="C172">
        <v>-0.6</v>
      </c>
      <c r="D172">
        <v>108</v>
      </c>
      <c r="E172">
        <v>5.0999999999999996</v>
      </c>
      <c r="F172">
        <v>250</v>
      </c>
      <c r="G172">
        <v>-4.0999999999999996</v>
      </c>
      <c r="H172">
        <v>276</v>
      </c>
      <c r="I172">
        <v>-5</v>
      </c>
      <c r="J172">
        <v>4</v>
      </c>
      <c r="K172">
        <v>4.5999999999999996</v>
      </c>
      <c r="L172">
        <v>118</v>
      </c>
      <c r="M172">
        <v>9.6999999999999993</v>
      </c>
      <c r="N172">
        <v>107</v>
      </c>
      <c r="O172">
        <v>1.25</v>
      </c>
      <c r="P172">
        <v>104</v>
      </c>
      <c r="Q172">
        <v>1.0049999999999999</v>
      </c>
      <c r="R172">
        <v>50</v>
      </c>
      <c r="S172">
        <v>0.66700000000000004</v>
      </c>
      <c r="T172">
        <v>90</v>
      </c>
      <c r="U172">
        <v>0.97399999999999998</v>
      </c>
      <c r="V172">
        <v>47</v>
      </c>
      <c r="W172">
        <v>0.92700000000000005</v>
      </c>
      <c r="X172">
        <v>93</v>
      </c>
      <c r="Y172">
        <v>1.0740000000000001</v>
      </c>
      <c r="Z172">
        <v>75</v>
      </c>
      <c r="AA172">
        <v>0.99299999999999999</v>
      </c>
      <c r="AB172">
        <v>143</v>
      </c>
      <c r="AC172" s="21">
        <v>0.51300000000000001</v>
      </c>
      <c r="AD172" s="21">
        <v>0.502</v>
      </c>
      <c r="AE172">
        <v>141</v>
      </c>
      <c r="AF172">
        <v>150</v>
      </c>
      <c r="AG172" s="21">
        <v>0.503</v>
      </c>
      <c r="AH172">
        <v>44</v>
      </c>
      <c r="AI172">
        <v>22.794</v>
      </c>
      <c r="AJ172">
        <v>88</v>
      </c>
      <c r="AK172" s="21">
        <v>0.219</v>
      </c>
      <c r="AL172">
        <v>231</v>
      </c>
      <c r="AM172" s="21">
        <v>0.29599999999999999</v>
      </c>
      <c r="AN172">
        <v>120</v>
      </c>
      <c r="AO172" s="21">
        <v>0.34899999999999998</v>
      </c>
      <c r="AP172">
        <v>205</v>
      </c>
      <c r="AQ172" s="21">
        <v>0.34200000000000003</v>
      </c>
      <c r="AR172">
        <v>16</v>
      </c>
      <c r="AS172" s="21">
        <v>0.34799999999999998</v>
      </c>
      <c r="AT172">
        <v>87</v>
      </c>
      <c r="AU172" s="21">
        <v>0.74299999999999999</v>
      </c>
      <c r="AV172">
        <v>111</v>
      </c>
      <c r="AW172">
        <v>71.5</v>
      </c>
      <c r="AX172">
        <v>269</v>
      </c>
      <c r="AY172" s="21">
        <v>0.18</v>
      </c>
      <c r="AZ172">
        <v>86</v>
      </c>
      <c r="BA172" s="21">
        <v>0.183</v>
      </c>
    </row>
    <row r="173" spans="1:53" x14ac:dyDescent="0.25">
      <c r="A173" s="1" t="s">
        <v>33</v>
      </c>
      <c r="B173">
        <v>172</v>
      </c>
      <c r="C173">
        <v>-0.7</v>
      </c>
      <c r="D173">
        <v>253</v>
      </c>
      <c r="E173">
        <v>-3.7</v>
      </c>
      <c r="F173">
        <v>241</v>
      </c>
      <c r="G173">
        <v>-3.8</v>
      </c>
      <c r="H173">
        <v>245</v>
      </c>
      <c r="I173">
        <v>-4</v>
      </c>
      <c r="J173">
        <v>146</v>
      </c>
      <c r="K173">
        <v>0.6</v>
      </c>
      <c r="L173">
        <v>252</v>
      </c>
      <c r="M173">
        <v>10.9</v>
      </c>
      <c r="N173">
        <v>200</v>
      </c>
      <c r="O173">
        <v>1.0900000000000001</v>
      </c>
      <c r="P173">
        <v>29</v>
      </c>
      <c r="Q173">
        <v>0.878</v>
      </c>
      <c r="R173">
        <v>251</v>
      </c>
      <c r="S173">
        <v>0.4</v>
      </c>
      <c r="T173">
        <v>123</v>
      </c>
      <c r="U173">
        <v>0.96599999999999997</v>
      </c>
      <c r="V173">
        <v>20</v>
      </c>
      <c r="W173">
        <v>0.91400000000000003</v>
      </c>
      <c r="X173">
        <v>213</v>
      </c>
      <c r="Y173">
        <v>1.0209999999999999</v>
      </c>
      <c r="Z173">
        <v>69</v>
      </c>
      <c r="AA173">
        <v>0.98899999999999999</v>
      </c>
      <c r="AB173">
        <v>259</v>
      </c>
      <c r="AC173" s="21">
        <v>0.49299999999999999</v>
      </c>
      <c r="AD173" s="21">
        <v>0.50900000000000001</v>
      </c>
      <c r="AE173">
        <v>103</v>
      </c>
      <c r="AF173">
        <v>168</v>
      </c>
      <c r="AG173" s="21">
        <v>0.50600000000000001</v>
      </c>
      <c r="AH173">
        <v>215</v>
      </c>
      <c r="AI173">
        <v>18.876000000000001</v>
      </c>
      <c r="AJ173">
        <v>262</v>
      </c>
      <c r="AK173" s="21">
        <v>0.26</v>
      </c>
      <c r="AL173">
        <v>315</v>
      </c>
      <c r="AM173" s="21">
        <v>0.26400000000000001</v>
      </c>
      <c r="AN173">
        <v>242</v>
      </c>
      <c r="AO173" s="21">
        <v>0.32500000000000001</v>
      </c>
      <c r="AP173">
        <v>229</v>
      </c>
      <c r="AQ173" s="21">
        <v>0.34499999999999997</v>
      </c>
      <c r="AR173">
        <v>40</v>
      </c>
      <c r="AS173" s="21">
        <v>0.32900000000000001</v>
      </c>
      <c r="AT173">
        <v>316</v>
      </c>
      <c r="AU173" s="21">
        <v>0.69</v>
      </c>
      <c r="AV173">
        <v>275</v>
      </c>
      <c r="AW173">
        <v>68.3</v>
      </c>
      <c r="AX173">
        <v>256</v>
      </c>
      <c r="AY173" s="21">
        <v>0.17799999999999999</v>
      </c>
      <c r="AZ173">
        <v>10</v>
      </c>
      <c r="BA173" s="21">
        <v>0.216</v>
      </c>
    </row>
    <row r="174" spans="1:53" x14ac:dyDescent="0.25">
      <c r="A174" s="1" t="s">
        <v>122</v>
      </c>
      <c r="B174">
        <v>173</v>
      </c>
      <c r="C174">
        <v>-0.7</v>
      </c>
      <c r="D174">
        <v>72</v>
      </c>
      <c r="E174">
        <v>10.3</v>
      </c>
      <c r="F174">
        <v>190</v>
      </c>
      <c r="G174">
        <v>-2.7</v>
      </c>
      <c r="H174">
        <v>131</v>
      </c>
      <c r="I174">
        <v>-0.8</v>
      </c>
      <c r="J174">
        <v>1</v>
      </c>
      <c r="K174">
        <v>5.3</v>
      </c>
      <c r="L174">
        <v>113</v>
      </c>
      <c r="M174">
        <v>9.6999999999999993</v>
      </c>
      <c r="N174">
        <v>139</v>
      </c>
      <c r="O174">
        <v>1.206</v>
      </c>
      <c r="P174">
        <v>207</v>
      </c>
      <c r="Q174">
        <v>1.1719999999999999</v>
      </c>
      <c r="R174">
        <v>14</v>
      </c>
      <c r="S174">
        <v>0.8</v>
      </c>
      <c r="T174">
        <v>326</v>
      </c>
      <c r="U174">
        <v>0.91900000000000004</v>
      </c>
      <c r="V174">
        <v>223</v>
      </c>
      <c r="W174">
        <v>0.96399999999999997</v>
      </c>
      <c r="X174">
        <v>72</v>
      </c>
      <c r="Y174">
        <v>1.089</v>
      </c>
      <c r="Z174">
        <v>284</v>
      </c>
      <c r="AA174">
        <v>1.0780000000000001</v>
      </c>
      <c r="AB174">
        <v>13</v>
      </c>
      <c r="AC174" s="21">
        <v>0.56399999999999995</v>
      </c>
      <c r="AD174" s="21">
        <v>0.56299999999999994</v>
      </c>
      <c r="AE174">
        <v>7</v>
      </c>
      <c r="AF174">
        <v>249</v>
      </c>
      <c r="AG174" s="21">
        <v>0.52200000000000002</v>
      </c>
      <c r="AH174">
        <v>111</v>
      </c>
      <c r="AI174">
        <v>21.05</v>
      </c>
      <c r="AJ174">
        <v>168</v>
      </c>
      <c r="AK174" s="21">
        <v>0.24</v>
      </c>
      <c r="AL174">
        <v>251</v>
      </c>
      <c r="AM174" s="21">
        <v>0.28899999999999998</v>
      </c>
      <c r="AN174">
        <v>55</v>
      </c>
      <c r="AO174" s="21">
        <v>0.36499999999999999</v>
      </c>
      <c r="AP174">
        <v>175</v>
      </c>
      <c r="AQ174" s="21">
        <v>0.33700000000000002</v>
      </c>
      <c r="AR174">
        <v>351</v>
      </c>
      <c r="AS174" s="21">
        <v>0.19700000000000001</v>
      </c>
      <c r="AT174">
        <v>147</v>
      </c>
      <c r="AU174" s="21">
        <v>0.73</v>
      </c>
      <c r="AV174">
        <v>224</v>
      </c>
      <c r="AW174">
        <v>69.3</v>
      </c>
      <c r="AX174">
        <v>115</v>
      </c>
      <c r="AY174" s="21">
        <v>0.158</v>
      </c>
      <c r="AZ174">
        <v>288</v>
      </c>
      <c r="BA174" s="21">
        <v>0.152</v>
      </c>
    </row>
    <row r="175" spans="1:53" x14ac:dyDescent="0.25">
      <c r="A175" s="1" t="s">
        <v>81</v>
      </c>
      <c r="B175">
        <v>174</v>
      </c>
      <c r="C175">
        <v>-0.7</v>
      </c>
      <c r="D175">
        <v>221</v>
      </c>
      <c r="E175">
        <v>-1.8</v>
      </c>
      <c r="F175">
        <v>274</v>
      </c>
      <c r="G175">
        <v>-4.5999999999999996</v>
      </c>
      <c r="H175">
        <v>151</v>
      </c>
      <c r="I175">
        <v>-1.4</v>
      </c>
      <c r="J175">
        <v>48</v>
      </c>
      <c r="K175">
        <v>2</v>
      </c>
      <c r="L175">
        <v>66</v>
      </c>
      <c r="M175">
        <v>9.1999999999999993</v>
      </c>
      <c r="N175">
        <v>212</v>
      </c>
      <c r="O175">
        <v>1.0649999999999999</v>
      </c>
      <c r="P175">
        <v>183</v>
      </c>
      <c r="Q175">
        <v>1.1379999999999999</v>
      </c>
      <c r="R175">
        <v>77</v>
      </c>
      <c r="S175">
        <v>0.625</v>
      </c>
      <c r="T175">
        <v>253</v>
      </c>
      <c r="U175">
        <v>0.94</v>
      </c>
      <c r="V175">
        <v>262</v>
      </c>
      <c r="W175">
        <v>0.96899999999999997</v>
      </c>
      <c r="X175">
        <v>87</v>
      </c>
      <c r="Y175">
        <v>1.077</v>
      </c>
      <c r="Z175">
        <v>146</v>
      </c>
      <c r="AA175">
        <v>1.0209999999999999</v>
      </c>
      <c r="AB175">
        <v>98</v>
      </c>
      <c r="AC175" s="21">
        <v>0.52400000000000002</v>
      </c>
      <c r="AD175" s="21">
        <v>0.51200000000000001</v>
      </c>
      <c r="AE175">
        <v>93</v>
      </c>
      <c r="AF175">
        <v>122</v>
      </c>
      <c r="AG175" s="21">
        <v>0.497</v>
      </c>
      <c r="AH175">
        <v>26</v>
      </c>
      <c r="AI175">
        <v>23.556000000000001</v>
      </c>
      <c r="AJ175">
        <v>211</v>
      </c>
      <c r="AK175" s="21">
        <v>0.249</v>
      </c>
      <c r="AL175">
        <v>361</v>
      </c>
      <c r="AM175" s="21">
        <v>0.19400000000000001</v>
      </c>
      <c r="AN175">
        <v>306</v>
      </c>
      <c r="AO175" s="21">
        <v>0.313</v>
      </c>
      <c r="AP175">
        <v>190</v>
      </c>
      <c r="AQ175" s="21">
        <v>0.33900000000000002</v>
      </c>
      <c r="AR175">
        <v>125</v>
      </c>
      <c r="AS175" s="21">
        <v>0.29499999999999998</v>
      </c>
      <c r="AT175">
        <v>347</v>
      </c>
      <c r="AU175" s="21">
        <v>0.67300000000000004</v>
      </c>
      <c r="AV175">
        <v>214</v>
      </c>
      <c r="AW175">
        <v>69.599999999999994</v>
      </c>
      <c r="AX175">
        <v>258</v>
      </c>
      <c r="AY175" s="21">
        <v>0.17899999999999999</v>
      </c>
      <c r="AZ175">
        <v>92</v>
      </c>
      <c r="BA175" s="21">
        <v>0.182</v>
      </c>
    </row>
    <row r="176" spans="1:53" x14ac:dyDescent="0.25">
      <c r="A176" s="1" t="s">
        <v>255</v>
      </c>
      <c r="B176">
        <v>175</v>
      </c>
      <c r="C176">
        <v>-0.7</v>
      </c>
      <c r="D176">
        <v>207</v>
      </c>
      <c r="E176">
        <v>-0.5</v>
      </c>
      <c r="F176">
        <v>132</v>
      </c>
      <c r="G176">
        <v>-0.3</v>
      </c>
      <c r="H176">
        <v>223</v>
      </c>
      <c r="I176">
        <v>-3.6</v>
      </c>
      <c r="J176">
        <v>330</v>
      </c>
      <c r="K176">
        <v>-2.4</v>
      </c>
      <c r="L176">
        <v>30</v>
      </c>
      <c r="M176">
        <v>8.5</v>
      </c>
      <c r="N176">
        <v>128</v>
      </c>
      <c r="O176">
        <v>1.224</v>
      </c>
      <c r="P176">
        <v>167</v>
      </c>
      <c r="Q176">
        <v>1.1080000000000001</v>
      </c>
      <c r="R176">
        <v>223</v>
      </c>
      <c r="S176">
        <v>0.44400000000000001</v>
      </c>
      <c r="T176">
        <v>165</v>
      </c>
      <c r="U176">
        <v>0.95899999999999996</v>
      </c>
      <c r="V176">
        <v>184</v>
      </c>
      <c r="W176">
        <v>0.95699999999999996</v>
      </c>
      <c r="X176">
        <v>233</v>
      </c>
      <c r="Y176">
        <v>1.0129999999999999</v>
      </c>
      <c r="Z176">
        <v>185</v>
      </c>
      <c r="AA176">
        <v>1.04</v>
      </c>
      <c r="AB176">
        <v>238</v>
      </c>
      <c r="AC176" s="21">
        <v>0.497</v>
      </c>
      <c r="AD176" s="21">
        <v>0.504</v>
      </c>
      <c r="AE176">
        <v>128</v>
      </c>
      <c r="AF176">
        <v>120</v>
      </c>
      <c r="AG176" s="21">
        <v>0.497</v>
      </c>
      <c r="AH176">
        <v>141</v>
      </c>
      <c r="AI176">
        <v>20.396000000000001</v>
      </c>
      <c r="AJ176">
        <v>283</v>
      </c>
      <c r="AK176" s="21">
        <v>0.26600000000000001</v>
      </c>
      <c r="AL176">
        <v>261</v>
      </c>
      <c r="AM176" s="21">
        <v>0.28599999999999998</v>
      </c>
      <c r="AN176">
        <v>288</v>
      </c>
      <c r="AO176" s="21">
        <v>0.316</v>
      </c>
      <c r="AP176">
        <v>147</v>
      </c>
      <c r="AQ176" s="21">
        <v>0.33300000000000002</v>
      </c>
      <c r="AR176">
        <v>256</v>
      </c>
      <c r="AS176" s="21">
        <v>0.25</v>
      </c>
      <c r="AT176">
        <v>285</v>
      </c>
      <c r="AU176" s="21">
        <v>0.7</v>
      </c>
      <c r="AV176">
        <v>68</v>
      </c>
      <c r="AW176">
        <v>72.400000000000006</v>
      </c>
      <c r="AX176">
        <v>106</v>
      </c>
      <c r="AY176" s="21">
        <v>0.157</v>
      </c>
      <c r="AZ176">
        <v>104</v>
      </c>
      <c r="BA176" s="21">
        <v>0.17799999999999999</v>
      </c>
    </row>
    <row r="177" spans="1:53" x14ac:dyDescent="0.25">
      <c r="A177" s="1" t="s">
        <v>153</v>
      </c>
      <c r="B177">
        <v>176</v>
      </c>
      <c r="C177">
        <v>-0.8</v>
      </c>
      <c r="D177">
        <v>164</v>
      </c>
      <c r="E177">
        <v>0.3</v>
      </c>
      <c r="F177">
        <v>223</v>
      </c>
      <c r="G177">
        <v>-3.3</v>
      </c>
      <c r="H177">
        <v>251</v>
      </c>
      <c r="I177">
        <v>-4.2</v>
      </c>
      <c r="J177">
        <v>158</v>
      </c>
      <c r="K177">
        <v>0.4</v>
      </c>
      <c r="L177">
        <v>60</v>
      </c>
      <c r="M177">
        <v>9.1</v>
      </c>
      <c r="N177">
        <v>123</v>
      </c>
      <c r="O177">
        <v>1.226</v>
      </c>
      <c r="P177">
        <v>25</v>
      </c>
      <c r="Q177">
        <v>0.86699999999999999</v>
      </c>
      <c r="R177">
        <v>108</v>
      </c>
      <c r="S177">
        <v>0.58299999999999996</v>
      </c>
      <c r="T177">
        <v>56</v>
      </c>
      <c r="U177">
        <v>0.98499999999999999</v>
      </c>
      <c r="V177">
        <v>135</v>
      </c>
      <c r="W177">
        <v>0.95</v>
      </c>
      <c r="X177">
        <v>153</v>
      </c>
      <c r="Y177">
        <v>1.046</v>
      </c>
      <c r="Z177">
        <v>123</v>
      </c>
      <c r="AA177">
        <v>1.0149999999999999</v>
      </c>
      <c r="AB177">
        <v>228</v>
      </c>
      <c r="AC177" s="21">
        <v>0.499</v>
      </c>
      <c r="AD177" s="21">
        <v>0.47499999999999998</v>
      </c>
      <c r="AE177">
        <v>273</v>
      </c>
      <c r="AF177">
        <v>102</v>
      </c>
      <c r="AG177" s="21">
        <v>0.49299999999999999</v>
      </c>
      <c r="AH177">
        <v>146</v>
      </c>
      <c r="AI177">
        <v>20.286000000000001</v>
      </c>
      <c r="AJ177">
        <v>343</v>
      </c>
      <c r="AK177" s="21">
        <v>0.29299999999999998</v>
      </c>
      <c r="AL177">
        <v>195</v>
      </c>
      <c r="AM177" s="21">
        <v>0.31</v>
      </c>
      <c r="AN177">
        <v>254</v>
      </c>
      <c r="AO177" s="21">
        <v>0.32300000000000001</v>
      </c>
      <c r="AP177">
        <v>86</v>
      </c>
      <c r="AQ177" s="21">
        <v>0.32200000000000001</v>
      </c>
      <c r="AR177">
        <v>90</v>
      </c>
      <c r="AS177" s="21">
        <v>0.31</v>
      </c>
      <c r="AT177">
        <v>92</v>
      </c>
      <c r="AU177" s="21">
        <v>0.74099999999999999</v>
      </c>
      <c r="AV177">
        <v>116</v>
      </c>
      <c r="AW177">
        <v>71.400000000000006</v>
      </c>
      <c r="AX177">
        <v>128</v>
      </c>
      <c r="AY177" s="21">
        <v>0.16</v>
      </c>
      <c r="AZ177">
        <v>207</v>
      </c>
      <c r="BA177" s="21">
        <v>0.16300000000000001</v>
      </c>
    </row>
    <row r="178" spans="1:53" x14ac:dyDescent="0.25">
      <c r="A178" s="1" t="s">
        <v>65</v>
      </c>
      <c r="B178">
        <v>177</v>
      </c>
      <c r="C178">
        <v>-1</v>
      </c>
      <c r="D178">
        <v>154</v>
      </c>
      <c r="E178">
        <v>1.2</v>
      </c>
      <c r="F178">
        <v>208</v>
      </c>
      <c r="G178">
        <v>-3</v>
      </c>
      <c r="H178">
        <v>231</v>
      </c>
      <c r="I178">
        <v>-3.7</v>
      </c>
      <c r="J178">
        <v>264</v>
      </c>
      <c r="K178">
        <v>-1.1000000000000001</v>
      </c>
      <c r="L178">
        <v>4</v>
      </c>
      <c r="M178">
        <v>7.6</v>
      </c>
      <c r="N178">
        <v>218</v>
      </c>
      <c r="O178">
        <v>1.046</v>
      </c>
      <c r="P178">
        <v>285</v>
      </c>
      <c r="Q178">
        <v>1.286</v>
      </c>
      <c r="R178">
        <v>213</v>
      </c>
      <c r="S178">
        <v>0.45500000000000002</v>
      </c>
      <c r="T178">
        <v>162</v>
      </c>
      <c r="U178">
        <v>0.95899999999999996</v>
      </c>
      <c r="V178">
        <v>347</v>
      </c>
      <c r="W178">
        <v>0.996</v>
      </c>
      <c r="X178">
        <v>162</v>
      </c>
      <c r="Y178">
        <v>1.042</v>
      </c>
      <c r="Z178">
        <v>112</v>
      </c>
      <c r="AA178">
        <v>1.0129999999999999</v>
      </c>
      <c r="AB178">
        <v>109</v>
      </c>
      <c r="AC178" s="21">
        <v>0.52200000000000002</v>
      </c>
      <c r="AD178" s="21">
        <v>0.52800000000000002</v>
      </c>
      <c r="AE178">
        <v>52</v>
      </c>
      <c r="AF178">
        <v>49</v>
      </c>
      <c r="AG178" s="21">
        <v>0.47799999999999998</v>
      </c>
      <c r="AH178">
        <v>354</v>
      </c>
      <c r="AI178">
        <v>14.506</v>
      </c>
      <c r="AJ178">
        <v>80</v>
      </c>
      <c r="AK178" s="21">
        <v>0.218</v>
      </c>
      <c r="AL178">
        <v>157</v>
      </c>
      <c r="AM178" s="21">
        <v>0.32200000000000001</v>
      </c>
      <c r="AN178">
        <v>108</v>
      </c>
      <c r="AO178" s="21">
        <v>0.35</v>
      </c>
      <c r="AP178">
        <v>57</v>
      </c>
      <c r="AQ178" s="21">
        <v>0.316</v>
      </c>
      <c r="AR178">
        <v>71</v>
      </c>
      <c r="AS178" s="21">
        <v>0.32</v>
      </c>
      <c r="AT178">
        <v>192</v>
      </c>
      <c r="AU178" s="21">
        <v>0.72099999999999997</v>
      </c>
      <c r="AV178">
        <v>339</v>
      </c>
      <c r="AW178">
        <v>66.8</v>
      </c>
      <c r="AX178">
        <v>280</v>
      </c>
      <c r="AY178" s="21">
        <v>0.182</v>
      </c>
      <c r="AZ178">
        <v>332</v>
      </c>
      <c r="BA178" s="21">
        <v>0.14099999999999999</v>
      </c>
    </row>
    <row r="179" spans="1:53" x14ac:dyDescent="0.25">
      <c r="A179" s="1" t="s">
        <v>227</v>
      </c>
      <c r="B179">
        <v>178</v>
      </c>
      <c r="C179">
        <v>-1</v>
      </c>
      <c r="D179">
        <v>122</v>
      </c>
      <c r="E179">
        <v>4.2</v>
      </c>
      <c r="F179">
        <v>172</v>
      </c>
      <c r="G179">
        <v>-2.1</v>
      </c>
      <c r="H179">
        <v>153</v>
      </c>
      <c r="I179">
        <v>-1.5</v>
      </c>
      <c r="J179">
        <v>43</v>
      </c>
      <c r="K179">
        <v>2.1</v>
      </c>
      <c r="L179">
        <v>62</v>
      </c>
      <c r="M179">
        <v>9.1</v>
      </c>
      <c r="N179">
        <v>300</v>
      </c>
      <c r="O179">
        <v>0.92700000000000005</v>
      </c>
      <c r="P179">
        <v>146</v>
      </c>
      <c r="Q179">
        <v>1.075</v>
      </c>
      <c r="R179">
        <v>158</v>
      </c>
      <c r="S179">
        <v>0.5</v>
      </c>
      <c r="T179">
        <v>88</v>
      </c>
      <c r="U179">
        <v>0.97399999999999998</v>
      </c>
      <c r="V179">
        <v>241</v>
      </c>
      <c r="W179">
        <v>0.96599999999999997</v>
      </c>
      <c r="X179">
        <v>78</v>
      </c>
      <c r="Y179">
        <v>1.0840000000000001</v>
      </c>
      <c r="Z179">
        <v>274</v>
      </c>
      <c r="AA179">
        <v>1.073</v>
      </c>
      <c r="AB179">
        <v>152</v>
      </c>
      <c r="AC179" s="21">
        <v>0.51100000000000001</v>
      </c>
      <c r="AD179" s="21">
        <v>0.48599999999999999</v>
      </c>
      <c r="AE179">
        <v>228</v>
      </c>
      <c r="AF179">
        <v>187</v>
      </c>
      <c r="AG179" s="21">
        <v>0.51</v>
      </c>
      <c r="AH179">
        <v>6</v>
      </c>
      <c r="AI179">
        <v>25.452999999999999</v>
      </c>
      <c r="AJ179">
        <v>296</v>
      </c>
      <c r="AK179" s="21">
        <v>0.27</v>
      </c>
      <c r="AL179">
        <v>245</v>
      </c>
      <c r="AM179" s="21">
        <v>0.28999999999999998</v>
      </c>
      <c r="AN179">
        <v>79</v>
      </c>
      <c r="AO179" s="21">
        <v>0.35599999999999998</v>
      </c>
      <c r="AP179">
        <v>299</v>
      </c>
      <c r="AQ179" s="21">
        <v>0.35799999999999998</v>
      </c>
      <c r="AR179">
        <v>43</v>
      </c>
      <c r="AS179" s="21">
        <v>0.32800000000000001</v>
      </c>
      <c r="AT179">
        <v>220</v>
      </c>
      <c r="AU179" s="21">
        <v>0.71699999999999997</v>
      </c>
      <c r="AV179">
        <v>353</v>
      </c>
      <c r="AW179">
        <v>66.2</v>
      </c>
      <c r="AX179">
        <v>217</v>
      </c>
      <c r="AY179" s="21">
        <v>0.17299999999999999</v>
      </c>
      <c r="AZ179">
        <v>217</v>
      </c>
      <c r="BA179" s="21">
        <v>0.16200000000000001</v>
      </c>
    </row>
    <row r="180" spans="1:53" x14ac:dyDescent="0.25">
      <c r="A180" s="1" t="s">
        <v>457</v>
      </c>
      <c r="B180">
        <v>179</v>
      </c>
      <c r="C180">
        <v>-1</v>
      </c>
      <c r="D180">
        <v>247</v>
      </c>
      <c r="E180">
        <v>-3.4</v>
      </c>
      <c r="F180">
        <v>218</v>
      </c>
      <c r="G180">
        <v>-3.2</v>
      </c>
      <c r="H180">
        <v>150</v>
      </c>
      <c r="I180">
        <v>-1.3</v>
      </c>
      <c r="J180">
        <v>127</v>
      </c>
      <c r="K180">
        <v>0.8</v>
      </c>
      <c r="L180">
        <v>54</v>
      </c>
      <c r="M180">
        <v>9</v>
      </c>
      <c r="N180">
        <v>236</v>
      </c>
      <c r="O180">
        <v>1.0289999999999999</v>
      </c>
      <c r="P180">
        <v>153</v>
      </c>
      <c r="Q180">
        <v>1.081</v>
      </c>
      <c r="R180">
        <v>108</v>
      </c>
      <c r="S180">
        <v>0.58299999999999996</v>
      </c>
      <c r="T180">
        <v>39</v>
      </c>
      <c r="U180">
        <v>0.99199999999999999</v>
      </c>
      <c r="V180">
        <v>276</v>
      </c>
      <c r="W180">
        <v>0.97199999999999998</v>
      </c>
      <c r="X180">
        <v>224</v>
      </c>
      <c r="Y180">
        <v>1.0169999999999999</v>
      </c>
      <c r="Z180">
        <v>113</v>
      </c>
      <c r="AA180">
        <v>1.0129999999999999</v>
      </c>
      <c r="AB180">
        <v>300</v>
      </c>
      <c r="AC180" s="21">
        <v>0.48099999999999998</v>
      </c>
      <c r="AD180" s="21">
        <v>0.47899999999999998</v>
      </c>
      <c r="AE180">
        <v>260</v>
      </c>
      <c r="AF180">
        <v>57</v>
      </c>
      <c r="AG180" s="21">
        <v>0.48099999999999998</v>
      </c>
      <c r="AH180">
        <v>195</v>
      </c>
      <c r="AI180">
        <v>19.443999999999999</v>
      </c>
      <c r="AJ180">
        <v>271</v>
      </c>
      <c r="AK180" s="21">
        <v>0.26300000000000001</v>
      </c>
      <c r="AL180">
        <v>151</v>
      </c>
      <c r="AM180" s="21">
        <v>0.32500000000000001</v>
      </c>
      <c r="AN180">
        <v>115</v>
      </c>
      <c r="AO180" s="21">
        <v>0.35</v>
      </c>
      <c r="AP180">
        <v>14</v>
      </c>
      <c r="AQ180" s="21">
        <v>0.30099999999999999</v>
      </c>
      <c r="AR180">
        <v>130</v>
      </c>
      <c r="AS180" s="21">
        <v>0.29299999999999998</v>
      </c>
      <c r="AT180">
        <v>250</v>
      </c>
      <c r="AU180" s="21">
        <v>0.71</v>
      </c>
      <c r="AV180">
        <v>148</v>
      </c>
      <c r="AW180">
        <v>70.8</v>
      </c>
      <c r="AX180">
        <v>44</v>
      </c>
      <c r="AY180" s="21">
        <v>0.14799999999999999</v>
      </c>
      <c r="AZ180">
        <v>216</v>
      </c>
      <c r="BA180" s="21">
        <v>0.16200000000000001</v>
      </c>
    </row>
    <row r="181" spans="1:53" x14ac:dyDescent="0.25">
      <c r="A181" s="1" t="s">
        <v>137</v>
      </c>
      <c r="B181">
        <v>180</v>
      </c>
      <c r="C181">
        <v>-1.1000000000000001</v>
      </c>
      <c r="D181">
        <v>208</v>
      </c>
      <c r="E181">
        <v>-0.5</v>
      </c>
      <c r="F181">
        <v>109</v>
      </c>
      <c r="G181">
        <v>0.8</v>
      </c>
      <c r="H181">
        <v>278</v>
      </c>
      <c r="I181">
        <v>-5</v>
      </c>
      <c r="J181">
        <v>155</v>
      </c>
      <c r="K181">
        <v>0.4</v>
      </c>
      <c r="L181">
        <v>206</v>
      </c>
      <c r="M181">
        <v>10.5</v>
      </c>
      <c r="N181">
        <v>214</v>
      </c>
      <c r="O181">
        <v>1.0589999999999999</v>
      </c>
      <c r="P181">
        <v>288</v>
      </c>
      <c r="Q181">
        <v>1.2909999999999999</v>
      </c>
      <c r="R181">
        <v>223</v>
      </c>
      <c r="S181">
        <v>0.44400000000000001</v>
      </c>
      <c r="T181">
        <v>264</v>
      </c>
      <c r="U181">
        <v>0.93700000000000006</v>
      </c>
      <c r="V181">
        <v>293</v>
      </c>
      <c r="W181">
        <v>0.97599999999999998</v>
      </c>
      <c r="X181">
        <v>238</v>
      </c>
      <c r="Y181">
        <v>1.012</v>
      </c>
      <c r="Z181">
        <v>249</v>
      </c>
      <c r="AA181">
        <v>1.0629999999999999</v>
      </c>
      <c r="AB181">
        <v>194</v>
      </c>
      <c r="AC181" s="21">
        <v>0.50600000000000001</v>
      </c>
      <c r="AD181" s="21">
        <v>0.502</v>
      </c>
      <c r="AE181">
        <v>141</v>
      </c>
      <c r="AF181">
        <v>236</v>
      </c>
      <c r="AG181" s="21">
        <v>0.51900000000000002</v>
      </c>
      <c r="AH181">
        <v>221</v>
      </c>
      <c r="AI181">
        <v>18.838999999999999</v>
      </c>
      <c r="AJ181">
        <v>75</v>
      </c>
      <c r="AK181" s="21">
        <v>0.216</v>
      </c>
      <c r="AL181">
        <v>84</v>
      </c>
      <c r="AM181" s="21">
        <v>0.34899999999999998</v>
      </c>
      <c r="AN181">
        <v>105</v>
      </c>
      <c r="AO181" s="21">
        <v>0.35099999999999998</v>
      </c>
      <c r="AP181">
        <v>77</v>
      </c>
      <c r="AQ181" s="21">
        <v>0.32</v>
      </c>
      <c r="AR181">
        <v>282</v>
      </c>
      <c r="AS181" s="21">
        <v>0.24099999999999999</v>
      </c>
      <c r="AT181">
        <v>287</v>
      </c>
      <c r="AU181" s="21">
        <v>0.69899999999999995</v>
      </c>
      <c r="AV181">
        <v>220</v>
      </c>
      <c r="AW181">
        <v>69.3</v>
      </c>
      <c r="AX181">
        <v>193</v>
      </c>
      <c r="AY181" s="21">
        <v>0.16900000000000001</v>
      </c>
      <c r="AZ181">
        <v>223</v>
      </c>
      <c r="BA181" s="21">
        <v>0.161</v>
      </c>
    </row>
    <row r="182" spans="1:53" x14ac:dyDescent="0.25">
      <c r="A182" s="1" t="s">
        <v>559</v>
      </c>
      <c r="B182">
        <v>181</v>
      </c>
      <c r="C182">
        <v>-1.2</v>
      </c>
      <c r="D182">
        <v>172</v>
      </c>
      <c r="E182" t="s">
        <v>5</v>
      </c>
      <c r="F182">
        <v>213</v>
      </c>
      <c r="G182">
        <v>-3.2</v>
      </c>
      <c r="H182">
        <v>98</v>
      </c>
      <c r="I182">
        <v>0.6</v>
      </c>
      <c r="J182">
        <v>206</v>
      </c>
      <c r="K182">
        <v>-0.4</v>
      </c>
      <c r="L182">
        <v>116</v>
      </c>
      <c r="M182">
        <v>9.6999999999999993</v>
      </c>
      <c r="N182">
        <v>78</v>
      </c>
      <c r="O182">
        <v>1.3089999999999999</v>
      </c>
      <c r="P182">
        <v>295</v>
      </c>
      <c r="Q182">
        <v>1.3160000000000001</v>
      </c>
      <c r="R182">
        <v>93</v>
      </c>
      <c r="S182">
        <v>0.6</v>
      </c>
      <c r="T182">
        <v>129</v>
      </c>
      <c r="U182">
        <v>0.96499999999999997</v>
      </c>
      <c r="V182">
        <v>258</v>
      </c>
      <c r="W182">
        <v>0.96899999999999997</v>
      </c>
      <c r="X182">
        <v>89</v>
      </c>
      <c r="Y182">
        <v>1.0740000000000001</v>
      </c>
      <c r="Z182">
        <v>186</v>
      </c>
      <c r="AA182">
        <v>1.04</v>
      </c>
      <c r="AB182">
        <v>56</v>
      </c>
      <c r="AC182" s="21">
        <v>0.53900000000000003</v>
      </c>
      <c r="AD182" s="21">
        <v>0.54600000000000004</v>
      </c>
      <c r="AE182">
        <v>25</v>
      </c>
      <c r="AF182">
        <v>161</v>
      </c>
      <c r="AG182" s="21">
        <v>0.505</v>
      </c>
      <c r="AH182">
        <v>359</v>
      </c>
      <c r="AI182">
        <v>13.897</v>
      </c>
      <c r="AJ182">
        <v>111</v>
      </c>
      <c r="AK182" s="21">
        <v>0.22700000000000001</v>
      </c>
      <c r="AL182">
        <v>125</v>
      </c>
      <c r="AM182" s="21">
        <v>0.33200000000000002</v>
      </c>
      <c r="AN182">
        <v>74</v>
      </c>
      <c r="AO182" s="21">
        <v>0.35699999999999998</v>
      </c>
      <c r="AP182">
        <v>258</v>
      </c>
      <c r="AQ182" s="21">
        <v>0.35099999999999998</v>
      </c>
      <c r="AR182">
        <v>177</v>
      </c>
      <c r="AS182" s="21">
        <v>0.27900000000000003</v>
      </c>
      <c r="AT182">
        <v>23</v>
      </c>
      <c r="AU182" s="21">
        <v>0.76600000000000001</v>
      </c>
      <c r="AV182">
        <v>317</v>
      </c>
      <c r="AW182">
        <v>67.3</v>
      </c>
      <c r="AX182">
        <v>111</v>
      </c>
      <c r="AY182" s="21">
        <v>0.158</v>
      </c>
      <c r="AZ182">
        <v>337</v>
      </c>
      <c r="BA182" s="21">
        <v>0.13900000000000001</v>
      </c>
    </row>
    <row r="183" spans="1:53" x14ac:dyDescent="0.25">
      <c r="A183" s="1" t="s">
        <v>560</v>
      </c>
      <c r="B183">
        <v>182</v>
      </c>
      <c r="C183">
        <v>-1.2</v>
      </c>
      <c r="D183">
        <v>311</v>
      </c>
      <c r="E183">
        <v>-11</v>
      </c>
      <c r="F183">
        <v>120</v>
      </c>
      <c r="G183">
        <v>0.2</v>
      </c>
      <c r="H183">
        <v>193</v>
      </c>
      <c r="I183">
        <v>-2.7</v>
      </c>
      <c r="J183">
        <v>324</v>
      </c>
      <c r="K183">
        <v>-2.4</v>
      </c>
      <c r="L183">
        <v>307</v>
      </c>
      <c r="M183">
        <v>11.5</v>
      </c>
      <c r="N183">
        <v>202</v>
      </c>
      <c r="O183">
        <v>1.087</v>
      </c>
      <c r="P183">
        <v>220</v>
      </c>
      <c r="Q183">
        <v>1.1839999999999999</v>
      </c>
      <c r="R183">
        <v>158</v>
      </c>
      <c r="S183">
        <v>0.5</v>
      </c>
      <c r="T183">
        <v>16</v>
      </c>
      <c r="U183">
        <v>1.006</v>
      </c>
      <c r="V183">
        <v>181</v>
      </c>
      <c r="W183">
        <v>0.95599999999999996</v>
      </c>
      <c r="X183">
        <v>303</v>
      </c>
      <c r="Y183">
        <v>0.98099999999999998</v>
      </c>
      <c r="Z183">
        <v>152</v>
      </c>
      <c r="AA183">
        <v>1.0249999999999999</v>
      </c>
      <c r="AB183">
        <v>352</v>
      </c>
      <c r="AC183" s="21">
        <v>0.45100000000000001</v>
      </c>
      <c r="AD183" s="21">
        <v>0.42699999999999999</v>
      </c>
      <c r="AE183">
        <v>362</v>
      </c>
      <c r="AF183">
        <v>124</v>
      </c>
      <c r="AG183" s="21">
        <v>0.498</v>
      </c>
      <c r="AH183">
        <v>169</v>
      </c>
      <c r="AI183">
        <v>19.823</v>
      </c>
      <c r="AJ183">
        <v>274</v>
      </c>
      <c r="AK183" s="21">
        <v>0.26400000000000001</v>
      </c>
      <c r="AL183">
        <v>347</v>
      </c>
      <c r="AM183" s="21">
        <v>0.23899999999999999</v>
      </c>
      <c r="AN183">
        <v>362</v>
      </c>
      <c r="AO183" s="21">
        <v>0.28000000000000003</v>
      </c>
      <c r="AP183">
        <v>138</v>
      </c>
      <c r="AQ183" s="21">
        <v>0.33200000000000002</v>
      </c>
      <c r="AR183">
        <v>45</v>
      </c>
      <c r="AS183" s="21">
        <v>0.32700000000000001</v>
      </c>
      <c r="AT183">
        <v>238</v>
      </c>
      <c r="AU183" s="21">
        <v>0.71199999999999997</v>
      </c>
      <c r="AV183">
        <v>25</v>
      </c>
      <c r="AW183">
        <v>73.900000000000006</v>
      </c>
      <c r="AX183">
        <v>97</v>
      </c>
      <c r="AY183" s="21">
        <v>0.156</v>
      </c>
      <c r="AZ183">
        <v>154</v>
      </c>
      <c r="BA183" s="21">
        <v>0.17100000000000001</v>
      </c>
    </row>
    <row r="184" spans="1:53" x14ac:dyDescent="0.25">
      <c r="A184" s="1" t="s">
        <v>561</v>
      </c>
      <c r="B184">
        <v>183</v>
      </c>
      <c r="C184">
        <v>-1.3</v>
      </c>
      <c r="D184">
        <v>281</v>
      </c>
      <c r="E184">
        <v>-6</v>
      </c>
      <c r="F184">
        <v>128</v>
      </c>
      <c r="G184">
        <v>-0.1</v>
      </c>
      <c r="H184">
        <v>144</v>
      </c>
      <c r="I184">
        <v>-1</v>
      </c>
      <c r="J184">
        <v>283</v>
      </c>
      <c r="K184">
        <v>-1.5</v>
      </c>
      <c r="L184">
        <v>136</v>
      </c>
      <c r="M184">
        <v>9.9</v>
      </c>
      <c r="N184">
        <v>278</v>
      </c>
      <c r="O184">
        <v>0.96699999999999997</v>
      </c>
      <c r="P184">
        <v>223</v>
      </c>
      <c r="Q184">
        <v>1.1950000000000001</v>
      </c>
      <c r="R184">
        <v>271</v>
      </c>
      <c r="S184">
        <v>0.36399999999999999</v>
      </c>
      <c r="T184">
        <v>242</v>
      </c>
      <c r="U184">
        <v>0.94299999999999995</v>
      </c>
      <c r="V184">
        <v>237</v>
      </c>
      <c r="W184">
        <v>0.96599999999999997</v>
      </c>
      <c r="X184">
        <v>187</v>
      </c>
      <c r="Y184">
        <v>1.0309999999999999</v>
      </c>
      <c r="Z184">
        <v>306</v>
      </c>
      <c r="AA184">
        <v>1.089</v>
      </c>
      <c r="AB184">
        <v>164</v>
      </c>
      <c r="AC184" s="21">
        <v>0.51</v>
      </c>
      <c r="AD184" s="21">
        <v>0.498</v>
      </c>
      <c r="AE184">
        <v>162</v>
      </c>
      <c r="AF184">
        <v>287</v>
      </c>
      <c r="AG184" s="21">
        <v>0.53100000000000003</v>
      </c>
      <c r="AH184">
        <v>103</v>
      </c>
      <c r="AI184">
        <v>21.242999999999999</v>
      </c>
      <c r="AJ184">
        <v>192</v>
      </c>
      <c r="AK184" s="21">
        <v>0.245</v>
      </c>
      <c r="AL184">
        <v>96</v>
      </c>
      <c r="AM184" s="21">
        <v>0.34499999999999997</v>
      </c>
      <c r="AN184">
        <v>13</v>
      </c>
      <c r="AO184" s="21">
        <v>0.38300000000000001</v>
      </c>
      <c r="AP184">
        <v>321</v>
      </c>
      <c r="AQ184" s="21">
        <v>0.36199999999999999</v>
      </c>
      <c r="AR184">
        <v>171</v>
      </c>
      <c r="AS184" s="21">
        <v>0.28100000000000003</v>
      </c>
      <c r="AT184">
        <v>300</v>
      </c>
      <c r="AU184" s="21">
        <v>0.69599999999999995</v>
      </c>
      <c r="AV184">
        <v>151</v>
      </c>
      <c r="AW184">
        <v>70.8</v>
      </c>
      <c r="AX184">
        <v>263</v>
      </c>
      <c r="AY184" s="21">
        <v>0.17899999999999999</v>
      </c>
      <c r="AZ184">
        <v>177</v>
      </c>
      <c r="BA184" s="21">
        <v>0.16800000000000001</v>
      </c>
    </row>
    <row r="185" spans="1:53" x14ac:dyDescent="0.25">
      <c r="A185" s="1" t="s">
        <v>106</v>
      </c>
      <c r="B185">
        <v>184</v>
      </c>
      <c r="C185">
        <v>-1.3</v>
      </c>
      <c r="D185">
        <v>258</v>
      </c>
      <c r="E185">
        <v>-4.2</v>
      </c>
      <c r="F185">
        <v>150</v>
      </c>
      <c r="G185">
        <v>-1.1000000000000001</v>
      </c>
      <c r="H185">
        <v>268</v>
      </c>
      <c r="I185">
        <v>-4.5999999999999996</v>
      </c>
      <c r="J185">
        <v>291</v>
      </c>
      <c r="K185">
        <v>-1.7</v>
      </c>
      <c r="L185">
        <v>205</v>
      </c>
      <c r="M185">
        <v>10.5</v>
      </c>
      <c r="N185">
        <v>203</v>
      </c>
      <c r="O185">
        <v>1.0820000000000001</v>
      </c>
      <c r="P185">
        <v>235</v>
      </c>
      <c r="Q185">
        <v>1.202</v>
      </c>
      <c r="R185">
        <v>279</v>
      </c>
      <c r="S185">
        <v>0.33300000000000002</v>
      </c>
      <c r="T185">
        <v>345</v>
      </c>
      <c r="U185">
        <v>0.91</v>
      </c>
      <c r="V185">
        <v>149</v>
      </c>
      <c r="W185">
        <v>0.95199999999999996</v>
      </c>
      <c r="X185">
        <v>122</v>
      </c>
      <c r="Y185">
        <v>1.06</v>
      </c>
      <c r="Z185">
        <v>313</v>
      </c>
      <c r="AA185">
        <v>1.0940000000000001</v>
      </c>
      <c r="AB185">
        <v>48</v>
      </c>
      <c r="AC185" s="21">
        <v>0.54600000000000004</v>
      </c>
      <c r="AD185" s="21">
        <v>0.54</v>
      </c>
      <c r="AE185">
        <v>34</v>
      </c>
      <c r="AF185">
        <v>326</v>
      </c>
      <c r="AG185" s="21">
        <v>0.54300000000000004</v>
      </c>
      <c r="AH185">
        <v>113</v>
      </c>
      <c r="AI185">
        <v>21.029</v>
      </c>
      <c r="AJ185">
        <v>319</v>
      </c>
      <c r="AK185" s="21">
        <v>0.28100000000000003</v>
      </c>
      <c r="AL185">
        <v>31</v>
      </c>
      <c r="AM185" s="21">
        <v>0.38600000000000001</v>
      </c>
      <c r="AN185">
        <v>112</v>
      </c>
      <c r="AO185" s="21">
        <v>0.35</v>
      </c>
      <c r="AP185">
        <v>307</v>
      </c>
      <c r="AQ185" s="21">
        <v>0.35899999999999999</v>
      </c>
      <c r="AR185">
        <v>295</v>
      </c>
      <c r="AS185" s="21">
        <v>0.23799999999999999</v>
      </c>
      <c r="AT185">
        <v>58</v>
      </c>
      <c r="AU185" s="21">
        <v>0.75</v>
      </c>
      <c r="AV185">
        <v>14</v>
      </c>
      <c r="AW185">
        <v>74.5</v>
      </c>
      <c r="AX185">
        <v>317</v>
      </c>
      <c r="AY185" s="21">
        <v>0.191</v>
      </c>
      <c r="AZ185">
        <v>273</v>
      </c>
      <c r="BA185" s="21">
        <v>0.155</v>
      </c>
    </row>
    <row r="186" spans="1:53" x14ac:dyDescent="0.25">
      <c r="A186" s="1" t="s">
        <v>562</v>
      </c>
      <c r="B186">
        <v>185</v>
      </c>
      <c r="C186">
        <v>-1.5</v>
      </c>
      <c r="D186">
        <v>126</v>
      </c>
      <c r="E186">
        <v>3.4</v>
      </c>
      <c r="F186">
        <v>202</v>
      </c>
      <c r="G186">
        <v>-2.9</v>
      </c>
      <c r="H186">
        <v>183</v>
      </c>
      <c r="I186">
        <v>-2.5</v>
      </c>
      <c r="J186">
        <v>15</v>
      </c>
      <c r="K186">
        <v>3.1</v>
      </c>
      <c r="L186">
        <v>224</v>
      </c>
      <c r="M186">
        <v>10.6</v>
      </c>
      <c r="N186">
        <v>121</v>
      </c>
      <c r="O186">
        <v>1.23</v>
      </c>
      <c r="P186">
        <v>289</v>
      </c>
      <c r="Q186">
        <v>1.292</v>
      </c>
      <c r="R186">
        <v>50</v>
      </c>
      <c r="S186">
        <v>0.66700000000000004</v>
      </c>
      <c r="T186">
        <v>122</v>
      </c>
      <c r="U186">
        <v>0.96599999999999997</v>
      </c>
      <c r="V186">
        <v>132</v>
      </c>
      <c r="W186">
        <v>0.94899999999999995</v>
      </c>
      <c r="X186">
        <v>59</v>
      </c>
      <c r="Y186">
        <v>1.1000000000000001</v>
      </c>
      <c r="Z186">
        <v>277</v>
      </c>
      <c r="AA186">
        <v>1.075</v>
      </c>
      <c r="AB186">
        <v>69</v>
      </c>
      <c r="AC186" s="21">
        <v>0.53500000000000003</v>
      </c>
      <c r="AD186" s="21">
        <v>0.53100000000000003</v>
      </c>
      <c r="AE186">
        <v>46</v>
      </c>
      <c r="AF186">
        <v>284</v>
      </c>
      <c r="AG186" s="21">
        <v>0.53100000000000003</v>
      </c>
      <c r="AH186">
        <v>71</v>
      </c>
      <c r="AI186">
        <v>21.922999999999998</v>
      </c>
      <c r="AJ186">
        <v>312</v>
      </c>
      <c r="AK186" s="21">
        <v>0.27700000000000002</v>
      </c>
      <c r="AL186">
        <v>168</v>
      </c>
      <c r="AM186" s="21">
        <v>0.318</v>
      </c>
      <c r="AN186">
        <v>44</v>
      </c>
      <c r="AO186" s="21">
        <v>0.36699999999999999</v>
      </c>
      <c r="AP186">
        <v>259</v>
      </c>
      <c r="AQ186" s="21">
        <v>0.35099999999999998</v>
      </c>
      <c r="AR186">
        <v>182</v>
      </c>
      <c r="AS186" s="21">
        <v>0.27800000000000002</v>
      </c>
      <c r="AT186">
        <v>7</v>
      </c>
      <c r="AU186" s="21">
        <v>0.78100000000000003</v>
      </c>
      <c r="AV186">
        <v>153</v>
      </c>
      <c r="AW186">
        <v>70.7</v>
      </c>
      <c r="AX186">
        <v>81</v>
      </c>
      <c r="AY186" s="21">
        <v>0.154</v>
      </c>
      <c r="AZ186">
        <v>321</v>
      </c>
      <c r="BA186" s="21">
        <v>0.14499999999999999</v>
      </c>
    </row>
    <row r="187" spans="1:53" x14ac:dyDescent="0.25">
      <c r="A187" s="1" t="s">
        <v>563</v>
      </c>
      <c r="B187">
        <v>186</v>
      </c>
      <c r="C187">
        <v>-1.5</v>
      </c>
      <c r="D187">
        <v>170</v>
      </c>
      <c r="E187">
        <v>0</v>
      </c>
      <c r="F187">
        <v>295</v>
      </c>
      <c r="G187">
        <v>-5.6</v>
      </c>
      <c r="H187">
        <v>205</v>
      </c>
      <c r="I187">
        <v>-3</v>
      </c>
      <c r="J187">
        <v>280</v>
      </c>
      <c r="K187">
        <v>-1.4</v>
      </c>
      <c r="L187">
        <v>210</v>
      </c>
      <c r="M187">
        <v>10.5</v>
      </c>
      <c r="N187">
        <v>219</v>
      </c>
      <c r="O187">
        <v>1.0449999999999999</v>
      </c>
      <c r="P187">
        <v>15</v>
      </c>
      <c r="Q187">
        <v>0.82799999999999996</v>
      </c>
      <c r="R187">
        <v>326</v>
      </c>
      <c r="S187">
        <v>0.25</v>
      </c>
      <c r="T187">
        <v>221</v>
      </c>
      <c r="U187">
        <v>0.94699999999999995</v>
      </c>
      <c r="V187">
        <v>7</v>
      </c>
      <c r="W187">
        <v>0.89600000000000002</v>
      </c>
      <c r="X187">
        <v>178</v>
      </c>
      <c r="Y187">
        <v>1.0349999999999999</v>
      </c>
      <c r="Z187">
        <v>38</v>
      </c>
      <c r="AA187">
        <v>0.97499999999999998</v>
      </c>
      <c r="AB187">
        <v>174</v>
      </c>
      <c r="AC187" s="21">
        <v>0.50800000000000001</v>
      </c>
      <c r="AD187" s="21">
        <v>0.49299999999999999</v>
      </c>
      <c r="AE187">
        <v>190</v>
      </c>
      <c r="AF187">
        <v>138</v>
      </c>
      <c r="AG187" s="21">
        <v>0.501</v>
      </c>
      <c r="AH187">
        <v>25</v>
      </c>
      <c r="AI187">
        <v>23.66</v>
      </c>
      <c r="AJ187">
        <v>357</v>
      </c>
      <c r="AK187" s="21">
        <v>0.309</v>
      </c>
      <c r="AL187">
        <v>318</v>
      </c>
      <c r="AM187" s="21">
        <v>0.26100000000000001</v>
      </c>
      <c r="AN187">
        <v>129</v>
      </c>
      <c r="AO187" s="21">
        <v>0.34699999999999998</v>
      </c>
      <c r="AP187">
        <v>42</v>
      </c>
      <c r="AQ187" s="21">
        <v>0.311</v>
      </c>
      <c r="AR187">
        <v>34</v>
      </c>
      <c r="AS187" s="21">
        <v>0.33500000000000002</v>
      </c>
      <c r="AT187">
        <v>260</v>
      </c>
      <c r="AU187" s="21">
        <v>0.70699999999999996</v>
      </c>
      <c r="AV187">
        <v>38</v>
      </c>
      <c r="AW187">
        <v>73.400000000000006</v>
      </c>
      <c r="AX187">
        <v>329</v>
      </c>
      <c r="AY187" s="21">
        <v>0.193</v>
      </c>
      <c r="AZ187">
        <v>7</v>
      </c>
      <c r="BA187" s="21">
        <v>0.221</v>
      </c>
    </row>
    <row r="188" spans="1:53" x14ac:dyDescent="0.25">
      <c r="A188" s="1" t="s">
        <v>26</v>
      </c>
      <c r="B188">
        <v>187</v>
      </c>
      <c r="C188">
        <v>-1.6</v>
      </c>
      <c r="D188">
        <v>252</v>
      </c>
      <c r="E188">
        <v>-3.7</v>
      </c>
      <c r="F188">
        <v>173</v>
      </c>
      <c r="G188">
        <v>-2.2000000000000002</v>
      </c>
      <c r="H188">
        <v>105</v>
      </c>
      <c r="I188">
        <v>0.3</v>
      </c>
      <c r="J188">
        <v>323</v>
      </c>
      <c r="K188">
        <v>-2.2999999999999998</v>
      </c>
      <c r="L188">
        <v>234</v>
      </c>
      <c r="M188">
        <v>10.7</v>
      </c>
      <c r="N188">
        <v>94</v>
      </c>
      <c r="O188">
        <v>1.2849999999999999</v>
      </c>
      <c r="P188">
        <v>186</v>
      </c>
      <c r="Q188">
        <v>1.143</v>
      </c>
      <c r="R188">
        <v>334</v>
      </c>
      <c r="S188">
        <v>0.23100000000000001</v>
      </c>
      <c r="T188">
        <v>299</v>
      </c>
      <c r="U188">
        <v>0.93</v>
      </c>
      <c r="V188">
        <v>288</v>
      </c>
      <c r="W188">
        <v>0.97399999999999998</v>
      </c>
      <c r="X188">
        <v>175</v>
      </c>
      <c r="Y188">
        <v>1.036</v>
      </c>
      <c r="Z188">
        <v>178</v>
      </c>
      <c r="AA188">
        <v>1.0369999999999999</v>
      </c>
      <c r="AB188">
        <v>86</v>
      </c>
      <c r="AC188" s="21">
        <v>0.52800000000000002</v>
      </c>
      <c r="AD188" s="21">
        <v>0.502</v>
      </c>
      <c r="AE188">
        <v>141</v>
      </c>
      <c r="AF188">
        <v>83</v>
      </c>
      <c r="AG188" s="21">
        <v>0.48799999999999999</v>
      </c>
      <c r="AH188">
        <v>241</v>
      </c>
      <c r="AI188">
        <v>18.599</v>
      </c>
      <c r="AJ188">
        <v>169</v>
      </c>
      <c r="AK188" s="21">
        <v>0.24099999999999999</v>
      </c>
      <c r="AL188">
        <v>99</v>
      </c>
      <c r="AM188" s="21">
        <v>0.34399999999999997</v>
      </c>
      <c r="AN188">
        <v>151</v>
      </c>
      <c r="AO188" s="21">
        <v>0.34300000000000003</v>
      </c>
      <c r="AP188">
        <v>11</v>
      </c>
      <c r="AQ188" s="21">
        <v>0.29799999999999999</v>
      </c>
      <c r="AR188">
        <v>357</v>
      </c>
      <c r="AS188" s="21">
        <v>0.183</v>
      </c>
      <c r="AT188">
        <v>157</v>
      </c>
      <c r="AU188" s="21">
        <v>0.72799999999999998</v>
      </c>
      <c r="AV188">
        <v>281</v>
      </c>
      <c r="AW188">
        <v>68.2</v>
      </c>
      <c r="AX188">
        <v>42</v>
      </c>
      <c r="AY188" s="21">
        <v>0.14799999999999999</v>
      </c>
      <c r="AZ188">
        <v>301</v>
      </c>
      <c r="BA188" s="21">
        <v>0.15</v>
      </c>
    </row>
    <row r="189" spans="1:53" x14ac:dyDescent="0.25">
      <c r="A189" s="1" t="s">
        <v>452</v>
      </c>
      <c r="B189">
        <v>188</v>
      </c>
      <c r="C189">
        <v>-1.6</v>
      </c>
      <c r="D189">
        <v>219</v>
      </c>
      <c r="E189">
        <v>-1.6</v>
      </c>
      <c r="F189">
        <v>194</v>
      </c>
      <c r="G189">
        <v>-2.8</v>
      </c>
      <c r="H189">
        <v>188</v>
      </c>
      <c r="I189">
        <v>-2.6</v>
      </c>
      <c r="J189">
        <v>279</v>
      </c>
      <c r="K189">
        <v>-1.4</v>
      </c>
      <c r="L189">
        <v>47</v>
      </c>
      <c r="M189">
        <v>8.9</v>
      </c>
      <c r="N189">
        <v>182</v>
      </c>
      <c r="O189">
        <v>1.127</v>
      </c>
      <c r="P189">
        <v>184</v>
      </c>
      <c r="Q189">
        <v>1.1419999999999999</v>
      </c>
      <c r="R189">
        <v>223</v>
      </c>
      <c r="S189">
        <v>0.44400000000000001</v>
      </c>
      <c r="T189">
        <v>143</v>
      </c>
      <c r="U189">
        <v>0.96299999999999997</v>
      </c>
      <c r="V189">
        <v>314</v>
      </c>
      <c r="W189">
        <v>0.98199999999999998</v>
      </c>
      <c r="X189">
        <v>118</v>
      </c>
      <c r="Y189">
        <v>1.0620000000000001</v>
      </c>
      <c r="Z189">
        <v>242</v>
      </c>
      <c r="AA189">
        <v>1.06</v>
      </c>
      <c r="AB189">
        <v>177</v>
      </c>
      <c r="AC189" s="21">
        <v>0.50700000000000001</v>
      </c>
      <c r="AD189" s="21">
        <v>0.499</v>
      </c>
      <c r="AE189">
        <v>157</v>
      </c>
      <c r="AF189">
        <v>128</v>
      </c>
      <c r="AG189" s="21">
        <v>0.499</v>
      </c>
      <c r="AH189">
        <v>50</v>
      </c>
      <c r="AI189">
        <v>22.576000000000001</v>
      </c>
      <c r="AJ189">
        <v>349</v>
      </c>
      <c r="AK189" s="21">
        <v>0.29899999999999999</v>
      </c>
      <c r="AL189">
        <v>352</v>
      </c>
      <c r="AM189" s="21">
        <v>0.23599999999999999</v>
      </c>
      <c r="AN189">
        <v>59</v>
      </c>
      <c r="AO189" s="21">
        <v>0.36399999999999999</v>
      </c>
      <c r="AP189">
        <v>318</v>
      </c>
      <c r="AQ189" s="21">
        <v>0.36099999999999999</v>
      </c>
      <c r="AR189">
        <v>58</v>
      </c>
      <c r="AS189" s="21">
        <v>0.32300000000000001</v>
      </c>
      <c r="AT189">
        <v>270</v>
      </c>
      <c r="AU189" s="21">
        <v>0.70499999999999996</v>
      </c>
      <c r="AV189">
        <v>181</v>
      </c>
      <c r="AW189">
        <v>70.3</v>
      </c>
      <c r="AX189">
        <v>239</v>
      </c>
      <c r="AY189" s="21">
        <v>0.17599999999999999</v>
      </c>
      <c r="AZ189">
        <v>256</v>
      </c>
      <c r="BA189" s="21">
        <v>0.157</v>
      </c>
    </row>
    <row r="190" spans="1:53" x14ac:dyDescent="0.25">
      <c r="A190" s="1" t="s">
        <v>56</v>
      </c>
      <c r="B190">
        <v>189</v>
      </c>
      <c r="C190">
        <v>-1.7</v>
      </c>
      <c r="D190">
        <v>227</v>
      </c>
      <c r="E190">
        <v>-2.1</v>
      </c>
      <c r="F190">
        <v>105</v>
      </c>
      <c r="G190">
        <v>1.1000000000000001</v>
      </c>
      <c r="H190">
        <v>226</v>
      </c>
      <c r="I190">
        <v>-3.6</v>
      </c>
      <c r="J190">
        <v>229</v>
      </c>
      <c r="K190">
        <v>-0.7</v>
      </c>
      <c r="L190">
        <v>207</v>
      </c>
      <c r="M190">
        <v>10.5</v>
      </c>
      <c r="N190">
        <v>327</v>
      </c>
      <c r="O190">
        <v>0.876</v>
      </c>
      <c r="P190">
        <v>164</v>
      </c>
      <c r="Q190">
        <v>1.1000000000000001</v>
      </c>
      <c r="R190">
        <v>251</v>
      </c>
      <c r="S190">
        <v>0.4</v>
      </c>
      <c r="T190">
        <v>288</v>
      </c>
      <c r="U190">
        <v>0.93200000000000005</v>
      </c>
      <c r="V190">
        <v>180</v>
      </c>
      <c r="W190">
        <v>0.95599999999999996</v>
      </c>
      <c r="X190">
        <v>306</v>
      </c>
      <c r="Y190">
        <v>0.98</v>
      </c>
      <c r="Z190">
        <v>220</v>
      </c>
      <c r="AA190">
        <v>1.0529999999999999</v>
      </c>
      <c r="AB190">
        <v>203</v>
      </c>
      <c r="AC190" s="21">
        <v>0.503</v>
      </c>
      <c r="AD190" s="21">
        <v>0.48499999999999999</v>
      </c>
      <c r="AE190">
        <v>232</v>
      </c>
      <c r="AF190">
        <v>185</v>
      </c>
      <c r="AG190" s="21">
        <v>0.51</v>
      </c>
      <c r="AH190">
        <v>330</v>
      </c>
      <c r="AI190">
        <v>16.138000000000002</v>
      </c>
      <c r="AJ190">
        <v>347</v>
      </c>
      <c r="AK190" s="21">
        <v>0.29599999999999999</v>
      </c>
      <c r="AL190">
        <v>86</v>
      </c>
      <c r="AM190" s="21">
        <v>0.34799999999999998</v>
      </c>
      <c r="AN190">
        <v>147</v>
      </c>
      <c r="AO190" s="21">
        <v>0.34399999999999997</v>
      </c>
      <c r="AP190">
        <v>141</v>
      </c>
      <c r="AQ190" s="21">
        <v>0.33300000000000002</v>
      </c>
      <c r="AR190">
        <v>194</v>
      </c>
      <c r="AS190" s="21">
        <v>0.27600000000000002</v>
      </c>
      <c r="AT190">
        <v>47</v>
      </c>
      <c r="AU190" s="21">
        <v>0.753</v>
      </c>
      <c r="AV190">
        <v>324</v>
      </c>
      <c r="AW190">
        <v>67.2</v>
      </c>
      <c r="AX190">
        <v>333</v>
      </c>
      <c r="AY190" s="21">
        <v>0.19400000000000001</v>
      </c>
      <c r="AZ190">
        <v>276</v>
      </c>
      <c r="BA190" s="21">
        <v>0.154</v>
      </c>
    </row>
    <row r="191" spans="1:53" x14ac:dyDescent="0.25">
      <c r="A191" s="1" t="s">
        <v>564</v>
      </c>
      <c r="B191">
        <v>190</v>
      </c>
      <c r="C191">
        <v>-1.7</v>
      </c>
      <c r="D191">
        <v>294</v>
      </c>
      <c r="E191">
        <v>-7.7</v>
      </c>
      <c r="F191">
        <v>251</v>
      </c>
      <c r="G191">
        <v>-4.0999999999999996</v>
      </c>
      <c r="H191">
        <v>293</v>
      </c>
      <c r="I191">
        <v>-5.5</v>
      </c>
      <c r="J191">
        <v>115</v>
      </c>
      <c r="K191">
        <v>1</v>
      </c>
      <c r="L191">
        <v>310</v>
      </c>
      <c r="M191">
        <v>11.6</v>
      </c>
      <c r="N191">
        <v>237</v>
      </c>
      <c r="O191">
        <v>1.028</v>
      </c>
      <c r="P191">
        <v>136</v>
      </c>
      <c r="Q191">
        <v>1.0589999999999999</v>
      </c>
      <c r="R191">
        <v>41</v>
      </c>
      <c r="S191">
        <v>0.71399999999999997</v>
      </c>
      <c r="T191">
        <v>191</v>
      </c>
      <c r="U191">
        <v>0.95399999999999996</v>
      </c>
      <c r="V191">
        <v>144</v>
      </c>
      <c r="W191">
        <v>0.95099999999999996</v>
      </c>
      <c r="X191">
        <v>215</v>
      </c>
      <c r="Y191">
        <v>1.0209999999999999</v>
      </c>
      <c r="Z191">
        <v>98</v>
      </c>
      <c r="AA191">
        <v>1.0049999999999999</v>
      </c>
      <c r="AB191">
        <v>237</v>
      </c>
      <c r="AC191" s="21">
        <v>0.498</v>
      </c>
      <c r="AD191" s="21">
        <v>0.48199999999999998</v>
      </c>
      <c r="AE191">
        <v>251</v>
      </c>
      <c r="AF191">
        <v>85</v>
      </c>
      <c r="AG191" s="21">
        <v>0.48799999999999999</v>
      </c>
      <c r="AH191">
        <v>83</v>
      </c>
      <c r="AI191">
        <v>21.675999999999998</v>
      </c>
      <c r="AJ191">
        <v>261</v>
      </c>
      <c r="AK191" s="21">
        <v>0.26</v>
      </c>
      <c r="AL191">
        <v>102</v>
      </c>
      <c r="AM191" s="21">
        <v>0.34300000000000003</v>
      </c>
      <c r="AN191">
        <v>303</v>
      </c>
      <c r="AO191" s="21">
        <v>0.313</v>
      </c>
      <c r="AP191">
        <v>163</v>
      </c>
      <c r="AQ191" s="21">
        <v>0.33500000000000002</v>
      </c>
      <c r="AR191">
        <v>183</v>
      </c>
      <c r="AS191" s="21">
        <v>0.27800000000000002</v>
      </c>
      <c r="AT191">
        <v>233</v>
      </c>
      <c r="AU191" s="21">
        <v>0.71299999999999997</v>
      </c>
      <c r="AV191">
        <v>76</v>
      </c>
      <c r="AW191">
        <v>72.2</v>
      </c>
      <c r="AX191">
        <v>208</v>
      </c>
      <c r="AY191" s="21">
        <v>0.17199999999999999</v>
      </c>
      <c r="AZ191">
        <v>116</v>
      </c>
      <c r="BA191" s="21">
        <v>0.17599999999999999</v>
      </c>
    </row>
    <row r="192" spans="1:53" x14ac:dyDescent="0.25">
      <c r="A192" s="1" t="s">
        <v>565</v>
      </c>
      <c r="B192">
        <v>191</v>
      </c>
      <c r="C192">
        <v>-1.8</v>
      </c>
      <c r="D192">
        <v>354</v>
      </c>
      <c r="E192">
        <v>-20.2</v>
      </c>
      <c r="F192">
        <v>340</v>
      </c>
      <c r="G192">
        <v>-7.4</v>
      </c>
      <c r="H192">
        <v>224</v>
      </c>
      <c r="I192">
        <v>-3.6</v>
      </c>
      <c r="J192">
        <v>32</v>
      </c>
      <c r="K192">
        <v>2.5</v>
      </c>
      <c r="L192">
        <v>94</v>
      </c>
      <c r="M192">
        <v>9.5</v>
      </c>
      <c r="N192">
        <v>160</v>
      </c>
      <c r="O192">
        <v>1.161</v>
      </c>
      <c r="P192">
        <v>131</v>
      </c>
      <c r="Q192">
        <v>1.0529999999999999</v>
      </c>
      <c r="R192">
        <v>130</v>
      </c>
      <c r="S192">
        <v>0.55600000000000005</v>
      </c>
      <c r="T192">
        <v>263</v>
      </c>
      <c r="U192">
        <v>0.93700000000000006</v>
      </c>
      <c r="V192">
        <v>84</v>
      </c>
      <c r="W192">
        <v>0.93799999999999994</v>
      </c>
      <c r="X192">
        <v>185</v>
      </c>
      <c r="Y192">
        <v>1.032</v>
      </c>
      <c r="Z192">
        <v>8</v>
      </c>
      <c r="AA192">
        <v>0.93200000000000005</v>
      </c>
      <c r="AB192">
        <v>108</v>
      </c>
      <c r="AC192" s="21">
        <v>0.52200000000000002</v>
      </c>
      <c r="AD192" s="21">
        <v>0.51400000000000001</v>
      </c>
      <c r="AE192">
        <v>87</v>
      </c>
      <c r="AF192">
        <v>42</v>
      </c>
      <c r="AG192" s="21">
        <v>0.47699999999999998</v>
      </c>
      <c r="AH192">
        <v>333</v>
      </c>
      <c r="AI192">
        <v>16.105</v>
      </c>
      <c r="AJ192">
        <v>2</v>
      </c>
      <c r="AK192" s="21">
        <v>0.14599999999999999</v>
      </c>
      <c r="AL192">
        <v>291</v>
      </c>
      <c r="AM192" s="21">
        <v>0.27800000000000002</v>
      </c>
      <c r="AN192">
        <v>219</v>
      </c>
      <c r="AO192" s="21">
        <v>0.32900000000000001</v>
      </c>
      <c r="AP192">
        <v>24</v>
      </c>
      <c r="AQ192" s="21">
        <v>0.30599999999999999</v>
      </c>
      <c r="AR192">
        <v>265</v>
      </c>
      <c r="AS192" s="21">
        <v>0.248</v>
      </c>
      <c r="AT192">
        <v>27</v>
      </c>
      <c r="AU192" s="21">
        <v>0.76500000000000001</v>
      </c>
      <c r="AV192">
        <v>302</v>
      </c>
      <c r="AW192">
        <v>67.7</v>
      </c>
      <c r="AX192">
        <v>184</v>
      </c>
      <c r="AY192" s="21">
        <v>0.16800000000000001</v>
      </c>
      <c r="AZ192">
        <v>111</v>
      </c>
      <c r="BA192" s="21">
        <v>0.17699999999999999</v>
      </c>
    </row>
    <row r="193" spans="1:53" x14ac:dyDescent="0.25">
      <c r="A193" s="1" t="s">
        <v>566</v>
      </c>
      <c r="B193">
        <v>192</v>
      </c>
      <c r="C193">
        <v>-1.9</v>
      </c>
      <c r="D193">
        <v>211</v>
      </c>
      <c r="E193">
        <v>-0.7</v>
      </c>
      <c r="F193">
        <v>248</v>
      </c>
      <c r="G193">
        <v>-4</v>
      </c>
      <c r="H193">
        <v>282</v>
      </c>
      <c r="I193">
        <v>-5.0999999999999996</v>
      </c>
      <c r="J193">
        <v>34</v>
      </c>
      <c r="K193">
        <v>2.4</v>
      </c>
      <c r="L193">
        <v>202</v>
      </c>
      <c r="M193">
        <v>10.5</v>
      </c>
      <c r="N193">
        <v>127</v>
      </c>
      <c r="O193">
        <v>1.224</v>
      </c>
      <c r="P193">
        <v>151</v>
      </c>
      <c r="Q193">
        <v>1.0780000000000001</v>
      </c>
      <c r="R193">
        <v>50</v>
      </c>
      <c r="S193">
        <v>0.66700000000000004</v>
      </c>
      <c r="T193">
        <v>53</v>
      </c>
      <c r="U193">
        <v>0.98499999999999999</v>
      </c>
      <c r="V193">
        <v>207</v>
      </c>
      <c r="W193">
        <v>0.96199999999999997</v>
      </c>
      <c r="X193">
        <v>74</v>
      </c>
      <c r="Y193">
        <v>1.0860000000000001</v>
      </c>
      <c r="Z193">
        <v>315</v>
      </c>
      <c r="AA193">
        <v>1.095</v>
      </c>
      <c r="AB193">
        <v>116</v>
      </c>
      <c r="AC193" s="21">
        <v>0.52</v>
      </c>
      <c r="AD193" s="21">
        <v>0.50600000000000001</v>
      </c>
      <c r="AE193">
        <v>118</v>
      </c>
      <c r="AF193">
        <v>298</v>
      </c>
      <c r="AG193" s="21">
        <v>0.53400000000000003</v>
      </c>
      <c r="AH193">
        <v>117</v>
      </c>
      <c r="AI193">
        <v>20.948</v>
      </c>
      <c r="AJ193">
        <v>333</v>
      </c>
      <c r="AK193" s="21">
        <v>0.28599999999999998</v>
      </c>
      <c r="AL193">
        <v>289</v>
      </c>
      <c r="AM193" s="21">
        <v>0.27800000000000002</v>
      </c>
      <c r="AN193">
        <v>154</v>
      </c>
      <c r="AO193" s="21">
        <v>0.34200000000000003</v>
      </c>
      <c r="AP193">
        <v>268</v>
      </c>
      <c r="AQ193" s="21">
        <v>0.35199999999999998</v>
      </c>
      <c r="AR193">
        <v>143</v>
      </c>
      <c r="AS193" s="21">
        <v>0.28899999999999998</v>
      </c>
      <c r="AT193">
        <v>335</v>
      </c>
      <c r="AU193" s="21">
        <v>0.68100000000000005</v>
      </c>
      <c r="AV193">
        <v>59</v>
      </c>
      <c r="AW193">
        <v>72.599999999999994</v>
      </c>
      <c r="AX193">
        <v>33</v>
      </c>
      <c r="AY193" s="21">
        <v>0.14499999999999999</v>
      </c>
      <c r="AZ193">
        <v>117</v>
      </c>
      <c r="BA193" s="21">
        <v>0.17599999999999999</v>
      </c>
    </row>
    <row r="194" spans="1:53" x14ac:dyDescent="0.25">
      <c r="A194" s="1" t="s">
        <v>182</v>
      </c>
      <c r="B194">
        <v>193</v>
      </c>
      <c r="C194">
        <v>-1.9</v>
      </c>
      <c r="D194">
        <v>259</v>
      </c>
      <c r="E194">
        <v>-4.2</v>
      </c>
      <c r="F194">
        <v>214</v>
      </c>
      <c r="G194">
        <v>-3.2</v>
      </c>
      <c r="H194">
        <v>58</v>
      </c>
      <c r="I194">
        <v>3.2</v>
      </c>
      <c r="J194">
        <v>194</v>
      </c>
      <c r="K194">
        <v>-0.1</v>
      </c>
      <c r="L194">
        <v>127</v>
      </c>
      <c r="M194">
        <v>9.8000000000000007</v>
      </c>
      <c r="N194">
        <v>73</v>
      </c>
      <c r="O194">
        <v>1.325</v>
      </c>
      <c r="P194">
        <v>36</v>
      </c>
      <c r="Q194">
        <v>0.91400000000000003</v>
      </c>
      <c r="R194">
        <v>239</v>
      </c>
      <c r="S194">
        <v>0.42899999999999999</v>
      </c>
      <c r="T194">
        <v>194</v>
      </c>
      <c r="U194">
        <v>0.95299999999999996</v>
      </c>
      <c r="V194">
        <v>125</v>
      </c>
      <c r="W194">
        <v>0.94799999999999995</v>
      </c>
      <c r="X194">
        <v>295</v>
      </c>
      <c r="Y194">
        <v>0.98599999999999999</v>
      </c>
      <c r="Z194">
        <v>25</v>
      </c>
      <c r="AA194">
        <v>0.96499999999999997</v>
      </c>
      <c r="AB194">
        <v>255</v>
      </c>
      <c r="AC194" s="21">
        <v>0.49399999999999999</v>
      </c>
      <c r="AD194" s="21">
        <v>0.495</v>
      </c>
      <c r="AE194">
        <v>180</v>
      </c>
      <c r="AF194">
        <v>24</v>
      </c>
      <c r="AG194" s="21">
        <v>0.46899999999999997</v>
      </c>
      <c r="AH194">
        <v>348</v>
      </c>
      <c r="AI194">
        <v>14.977</v>
      </c>
      <c r="AJ194">
        <v>63</v>
      </c>
      <c r="AK194" s="21">
        <v>0.21299999999999999</v>
      </c>
      <c r="AL194">
        <v>63</v>
      </c>
      <c r="AM194" s="21">
        <v>0.36399999999999999</v>
      </c>
      <c r="AN194">
        <v>217</v>
      </c>
      <c r="AO194" s="21">
        <v>0.33</v>
      </c>
      <c r="AP194">
        <v>38</v>
      </c>
      <c r="AQ194" s="21">
        <v>0.31</v>
      </c>
      <c r="AR194">
        <v>356</v>
      </c>
      <c r="AS194" s="21">
        <v>0.184</v>
      </c>
      <c r="AT194">
        <v>361</v>
      </c>
      <c r="AU194" s="21">
        <v>0.63100000000000001</v>
      </c>
      <c r="AV194">
        <v>343</v>
      </c>
      <c r="AW194">
        <v>66.599999999999994</v>
      </c>
      <c r="AX194">
        <v>10</v>
      </c>
      <c r="AY194" s="21">
        <v>0.13400000000000001</v>
      </c>
      <c r="AZ194">
        <v>3</v>
      </c>
      <c r="BA194" s="21">
        <v>0.22700000000000001</v>
      </c>
    </row>
    <row r="195" spans="1:53" x14ac:dyDescent="0.25">
      <c r="A195" s="1" t="s">
        <v>34</v>
      </c>
      <c r="B195">
        <v>194</v>
      </c>
      <c r="C195">
        <v>-1.9</v>
      </c>
      <c r="D195">
        <v>159</v>
      </c>
      <c r="E195">
        <v>0.8</v>
      </c>
      <c r="F195">
        <v>192</v>
      </c>
      <c r="G195">
        <v>-2.7</v>
      </c>
      <c r="H195">
        <v>156</v>
      </c>
      <c r="I195">
        <v>-1.6</v>
      </c>
      <c r="J195">
        <v>332</v>
      </c>
      <c r="K195">
        <v>-2.6</v>
      </c>
      <c r="L195">
        <v>349</v>
      </c>
      <c r="M195">
        <v>12.6</v>
      </c>
      <c r="N195">
        <v>184</v>
      </c>
      <c r="O195">
        <v>1.1259999999999999</v>
      </c>
      <c r="P195">
        <v>137</v>
      </c>
      <c r="Q195">
        <v>1.0629999999999999</v>
      </c>
      <c r="R195">
        <v>261</v>
      </c>
      <c r="S195">
        <v>0.38500000000000001</v>
      </c>
      <c r="T195">
        <v>260</v>
      </c>
      <c r="U195">
        <v>0.93799999999999994</v>
      </c>
      <c r="V195">
        <v>260</v>
      </c>
      <c r="W195">
        <v>0.96899999999999997</v>
      </c>
      <c r="X195">
        <v>320</v>
      </c>
      <c r="Y195">
        <v>0.96199999999999997</v>
      </c>
      <c r="Z195">
        <v>47</v>
      </c>
      <c r="AA195">
        <v>0.97899999999999998</v>
      </c>
      <c r="AB195">
        <v>274</v>
      </c>
      <c r="AC195" s="21">
        <v>0.48899999999999999</v>
      </c>
      <c r="AD195" s="21">
        <v>0.48199999999999998</v>
      </c>
      <c r="AE195">
        <v>251</v>
      </c>
      <c r="AF195">
        <v>9</v>
      </c>
      <c r="AG195" s="21">
        <v>0.45900000000000002</v>
      </c>
      <c r="AH195">
        <v>350</v>
      </c>
      <c r="AI195">
        <v>14.920999999999999</v>
      </c>
      <c r="AJ195">
        <v>313</v>
      </c>
      <c r="AK195" s="21">
        <v>0.27800000000000002</v>
      </c>
      <c r="AL195">
        <v>62</v>
      </c>
      <c r="AM195" s="21">
        <v>0.36499999999999999</v>
      </c>
      <c r="AN195">
        <v>204</v>
      </c>
      <c r="AO195" s="21">
        <v>0.33200000000000002</v>
      </c>
      <c r="AP195">
        <v>187</v>
      </c>
      <c r="AQ195" s="21">
        <v>0.33900000000000002</v>
      </c>
      <c r="AR195">
        <v>302</v>
      </c>
      <c r="AS195" s="21">
        <v>0.23499999999999999</v>
      </c>
      <c r="AT195">
        <v>107</v>
      </c>
      <c r="AU195" s="21">
        <v>0.73799999999999999</v>
      </c>
      <c r="AV195">
        <v>328</v>
      </c>
      <c r="AW195">
        <v>67</v>
      </c>
      <c r="AX195">
        <v>209</v>
      </c>
      <c r="AY195" s="21">
        <v>0.17199999999999999</v>
      </c>
      <c r="AZ195">
        <v>234</v>
      </c>
      <c r="BA195" s="21">
        <v>0.16</v>
      </c>
    </row>
    <row r="196" spans="1:53" x14ac:dyDescent="0.25">
      <c r="A196" s="1" t="s">
        <v>39</v>
      </c>
      <c r="B196">
        <v>195</v>
      </c>
      <c r="C196">
        <v>-1.9</v>
      </c>
      <c r="D196">
        <v>204</v>
      </c>
      <c r="E196">
        <v>-0.3</v>
      </c>
      <c r="F196">
        <v>168</v>
      </c>
      <c r="G196">
        <v>-1.8</v>
      </c>
      <c r="H196">
        <v>300</v>
      </c>
      <c r="I196">
        <v>-5.8</v>
      </c>
      <c r="J196">
        <v>344</v>
      </c>
      <c r="K196">
        <v>-2.9</v>
      </c>
      <c r="L196">
        <v>143</v>
      </c>
      <c r="M196">
        <v>9.9</v>
      </c>
      <c r="N196">
        <v>258</v>
      </c>
      <c r="O196">
        <v>1.0049999999999999</v>
      </c>
      <c r="P196">
        <v>263</v>
      </c>
      <c r="Q196">
        <v>1.2470000000000001</v>
      </c>
      <c r="R196">
        <v>309</v>
      </c>
      <c r="S196">
        <v>0.28599999999999998</v>
      </c>
      <c r="T196">
        <v>72</v>
      </c>
      <c r="U196">
        <v>0.97899999999999998</v>
      </c>
      <c r="V196">
        <v>334</v>
      </c>
      <c r="W196">
        <v>0.99099999999999999</v>
      </c>
      <c r="X196">
        <v>199</v>
      </c>
      <c r="Y196">
        <v>1.028</v>
      </c>
      <c r="Z196">
        <v>160</v>
      </c>
      <c r="AA196">
        <v>1.028</v>
      </c>
      <c r="AB196">
        <v>286</v>
      </c>
      <c r="AC196" s="21">
        <v>0.48599999999999999</v>
      </c>
      <c r="AD196" s="21">
        <v>0.47799999999999998</v>
      </c>
      <c r="AE196">
        <v>264</v>
      </c>
      <c r="AF196">
        <v>46</v>
      </c>
      <c r="AG196" s="21">
        <v>0.47799999999999998</v>
      </c>
      <c r="AH196">
        <v>21</v>
      </c>
      <c r="AI196">
        <v>23.991</v>
      </c>
      <c r="AJ196">
        <v>292</v>
      </c>
      <c r="AK196" s="21">
        <v>0.27</v>
      </c>
      <c r="AL196">
        <v>204</v>
      </c>
      <c r="AM196" s="21">
        <v>0.30499999999999999</v>
      </c>
      <c r="AN196">
        <v>205</v>
      </c>
      <c r="AO196" s="21">
        <v>0.33200000000000002</v>
      </c>
      <c r="AP196">
        <v>81</v>
      </c>
      <c r="AQ196" s="21">
        <v>0.32100000000000001</v>
      </c>
      <c r="AR196">
        <v>78</v>
      </c>
      <c r="AS196" s="21">
        <v>0.316</v>
      </c>
      <c r="AT196">
        <v>115</v>
      </c>
      <c r="AU196" s="21">
        <v>0.73599999999999999</v>
      </c>
      <c r="AV196">
        <v>267</v>
      </c>
      <c r="AW196">
        <v>68.400000000000006</v>
      </c>
      <c r="AX196">
        <v>216</v>
      </c>
      <c r="AY196" s="21">
        <v>0.17299999999999999</v>
      </c>
      <c r="AZ196">
        <v>342</v>
      </c>
      <c r="BA196" s="21">
        <v>0.13600000000000001</v>
      </c>
    </row>
    <row r="197" spans="1:53" x14ac:dyDescent="0.25">
      <c r="A197" s="1" t="s">
        <v>82</v>
      </c>
      <c r="B197">
        <v>196</v>
      </c>
      <c r="C197">
        <v>-2</v>
      </c>
      <c r="D197">
        <v>268</v>
      </c>
      <c r="E197">
        <v>-5.2</v>
      </c>
      <c r="F197">
        <v>135</v>
      </c>
      <c r="G197">
        <v>-0.5</v>
      </c>
      <c r="H197">
        <v>181</v>
      </c>
      <c r="I197">
        <v>-2.4</v>
      </c>
      <c r="J197">
        <v>222</v>
      </c>
      <c r="K197">
        <v>-0.6</v>
      </c>
      <c r="L197">
        <v>298</v>
      </c>
      <c r="M197">
        <v>11.4</v>
      </c>
      <c r="N197">
        <v>201</v>
      </c>
      <c r="O197">
        <v>1.0900000000000001</v>
      </c>
      <c r="P197">
        <v>311</v>
      </c>
      <c r="Q197">
        <v>1.3640000000000001</v>
      </c>
      <c r="R197">
        <v>158</v>
      </c>
      <c r="S197">
        <v>0.5</v>
      </c>
      <c r="T197">
        <v>192</v>
      </c>
      <c r="U197">
        <v>0.95399999999999996</v>
      </c>
      <c r="V197">
        <v>198</v>
      </c>
      <c r="W197">
        <v>0.95899999999999996</v>
      </c>
      <c r="X197">
        <v>198</v>
      </c>
      <c r="Y197">
        <v>1.028</v>
      </c>
      <c r="Z197">
        <v>278</v>
      </c>
      <c r="AA197">
        <v>1.075</v>
      </c>
      <c r="AB197">
        <v>135</v>
      </c>
      <c r="AC197" s="21">
        <v>0.51600000000000001</v>
      </c>
      <c r="AD197" s="21">
        <v>0.51100000000000001</v>
      </c>
      <c r="AE197">
        <v>95</v>
      </c>
      <c r="AF197">
        <v>268</v>
      </c>
      <c r="AG197" s="21">
        <v>0.52600000000000002</v>
      </c>
      <c r="AH197">
        <v>214</v>
      </c>
      <c r="AI197">
        <v>18.879000000000001</v>
      </c>
      <c r="AJ197">
        <v>227</v>
      </c>
      <c r="AK197" s="21">
        <v>0.253</v>
      </c>
      <c r="AL197">
        <v>281</v>
      </c>
      <c r="AM197" s="21">
        <v>0.28000000000000003</v>
      </c>
      <c r="AN197">
        <v>106</v>
      </c>
      <c r="AO197" s="21">
        <v>0.35099999999999998</v>
      </c>
      <c r="AP197">
        <v>319</v>
      </c>
      <c r="AQ197" s="21">
        <v>0.36099999999999999</v>
      </c>
      <c r="AR197">
        <v>117</v>
      </c>
      <c r="AS197" s="21">
        <v>0.29699999999999999</v>
      </c>
      <c r="AT197">
        <v>39</v>
      </c>
      <c r="AU197" s="21">
        <v>0.755</v>
      </c>
      <c r="AV197">
        <v>185</v>
      </c>
      <c r="AW197">
        <v>70.2</v>
      </c>
      <c r="AX197">
        <v>261</v>
      </c>
      <c r="AY197" s="21">
        <v>0.17899999999999999</v>
      </c>
      <c r="AZ197">
        <v>306</v>
      </c>
      <c r="BA197" s="21">
        <v>0.14899999999999999</v>
      </c>
    </row>
    <row r="198" spans="1:53" x14ac:dyDescent="0.25">
      <c r="A198" s="1" t="s">
        <v>221</v>
      </c>
      <c r="B198">
        <v>197</v>
      </c>
      <c r="C198">
        <v>-2</v>
      </c>
      <c r="D198">
        <v>111</v>
      </c>
      <c r="E198">
        <v>4.9000000000000004</v>
      </c>
      <c r="F198">
        <v>260</v>
      </c>
      <c r="G198">
        <v>-4.4000000000000004</v>
      </c>
      <c r="H198">
        <v>247</v>
      </c>
      <c r="I198">
        <v>-4.0999999999999996</v>
      </c>
      <c r="J198">
        <v>188</v>
      </c>
      <c r="K198">
        <v>-0.1</v>
      </c>
      <c r="L198">
        <v>195</v>
      </c>
      <c r="M198">
        <v>10.4</v>
      </c>
      <c r="N198">
        <v>57</v>
      </c>
      <c r="O198">
        <v>1.367</v>
      </c>
      <c r="P198">
        <v>33</v>
      </c>
      <c r="Q198">
        <v>0.91</v>
      </c>
      <c r="R198">
        <v>150</v>
      </c>
      <c r="S198">
        <v>0.53900000000000003</v>
      </c>
      <c r="T198">
        <v>300</v>
      </c>
      <c r="U198">
        <v>0.93</v>
      </c>
      <c r="V198">
        <v>33</v>
      </c>
      <c r="W198">
        <v>0.92100000000000004</v>
      </c>
      <c r="X198">
        <v>232</v>
      </c>
      <c r="Y198">
        <v>1.0129999999999999</v>
      </c>
      <c r="Z198">
        <v>63</v>
      </c>
      <c r="AA198">
        <v>0.98599999999999999</v>
      </c>
      <c r="AB198">
        <v>131</v>
      </c>
      <c r="AC198" s="21">
        <v>0.51600000000000001</v>
      </c>
      <c r="AD198" s="21">
        <v>0.495</v>
      </c>
      <c r="AE198">
        <v>180</v>
      </c>
      <c r="AF198">
        <v>153</v>
      </c>
      <c r="AG198" s="21">
        <v>0.504</v>
      </c>
      <c r="AH198">
        <v>309</v>
      </c>
      <c r="AI198">
        <v>16.794</v>
      </c>
      <c r="AJ198">
        <v>44</v>
      </c>
      <c r="AK198" s="21">
        <v>0.20699999999999999</v>
      </c>
      <c r="AL198">
        <v>264</v>
      </c>
      <c r="AM198" s="21">
        <v>0.28499999999999998</v>
      </c>
      <c r="AN198">
        <v>75</v>
      </c>
      <c r="AO198" s="21">
        <v>0.35699999999999998</v>
      </c>
      <c r="AP198">
        <v>147</v>
      </c>
      <c r="AQ198" s="21">
        <v>0.33300000000000002</v>
      </c>
      <c r="AR198">
        <v>354</v>
      </c>
      <c r="AS198" s="21">
        <v>0.187</v>
      </c>
      <c r="AT198">
        <v>313</v>
      </c>
      <c r="AU198" s="21">
        <v>0.69199999999999995</v>
      </c>
      <c r="AV198">
        <v>283</v>
      </c>
      <c r="AW198">
        <v>68.099999999999994</v>
      </c>
      <c r="AX198">
        <v>61</v>
      </c>
      <c r="AY198" s="21">
        <v>0.151</v>
      </c>
      <c r="AZ198">
        <v>11</v>
      </c>
      <c r="BA198" s="21">
        <v>0.215</v>
      </c>
    </row>
    <row r="199" spans="1:53" x14ac:dyDescent="0.25">
      <c r="A199" s="1" t="s">
        <v>567</v>
      </c>
      <c r="B199">
        <v>198</v>
      </c>
      <c r="C199">
        <v>-2</v>
      </c>
      <c r="D199">
        <v>182</v>
      </c>
      <c r="E199" t="s">
        <v>5</v>
      </c>
      <c r="F199">
        <v>282</v>
      </c>
      <c r="G199">
        <v>-5.0999999999999996</v>
      </c>
      <c r="H199">
        <v>279</v>
      </c>
      <c r="I199">
        <v>-5</v>
      </c>
      <c r="J199">
        <v>336</v>
      </c>
      <c r="K199">
        <v>-2.7</v>
      </c>
      <c r="L199">
        <v>312</v>
      </c>
      <c r="M199">
        <v>11.6</v>
      </c>
      <c r="N199">
        <v>168</v>
      </c>
      <c r="O199">
        <v>1.1499999999999999</v>
      </c>
      <c r="P199">
        <v>260</v>
      </c>
      <c r="Q199">
        <v>1.2450000000000001</v>
      </c>
      <c r="R199">
        <v>354</v>
      </c>
      <c r="S199">
        <v>0.1</v>
      </c>
      <c r="T199">
        <v>321</v>
      </c>
      <c r="U199">
        <v>0.92200000000000004</v>
      </c>
      <c r="V199">
        <v>339</v>
      </c>
      <c r="W199">
        <v>0.99199999999999999</v>
      </c>
      <c r="X199">
        <v>103</v>
      </c>
      <c r="Y199">
        <v>1.07</v>
      </c>
      <c r="Z199">
        <v>270</v>
      </c>
      <c r="AA199">
        <v>1.07</v>
      </c>
      <c r="AB199">
        <v>47</v>
      </c>
      <c r="AC199" s="21">
        <v>0.54600000000000004</v>
      </c>
      <c r="AD199" s="21">
        <v>0.51100000000000001</v>
      </c>
      <c r="AE199">
        <v>95</v>
      </c>
      <c r="AF199">
        <v>222</v>
      </c>
      <c r="AG199" s="21">
        <v>0.51600000000000001</v>
      </c>
      <c r="AH199">
        <v>186</v>
      </c>
      <c r="AI199">
        <v>19.547000000000001</v>
      </c>
      <c r="AJ199">
        <v>24</v>
      </c>
      <c r="AK199" s="21">
        <v>0.19600000000000001</v>
      </c>
      <c r="AL199">
        <v>313</v>
      </c>
      <c r="AM199" s="21">
        <v>0.26500000000000001</v>
      </c>
      <c r="AN199">
        <v>155</v>
      </c>
      <c r="AO199" s="21">
        <v>0.34200000000000003</v>
      </c>
      <c r="AP199">
        <v>287</v>
      </c>
      <c r="AQ199" s="21">
        <v>0.35599999999999998</v>
      </c>
      <c r="AR199">
        <v>266</v>
      </c>
      <c r="AS199" s="21">
        <v>0.248</v>
      </c>
      <c r="AT199">
        <v>262</v>
      </c>
      <c r="AU199" s="21">
        <v>0.70699999999999996</v>
      </c>
      <c r="AV199">
        <v>134</v>
      </c>
      <c r="AW199">
        <v>71.099999999999994</v>
      </c>
      <c r="AX199">
        <v>250</v>
      </c>
      <c r="AY199" s="21">
        <v>0.17799999999999999</v>
      </c>
      <c r="AZ199">
        <v>324</v>
      </c>
      <c r="BA199" s="21">
        <v>0.14499999999999999</v>
      </c>
    </row>
    <row r="200" spans="1:53" x14ac:dyDescent="0.25">
      <c r="A200" s="1" t="s">
        <v>455</v>
      </c>
      <c r="B200">
        <v>199</v>
      </c>
      <c r="C200">
        <v>-2.1</v>
      </c>
      <c r="D200">
        <v>236</v>
      </c>
      <c r="E200">
        <v>-2.7</v>
      </c>
      <c r="F200">
        <v>138</v>
      </c>
      <c r="G200">
        <v>-0.6</v>
      </c>
      <c r="H200">
        <v>197</v>
      </c>
      <c r="I200">
        <v>-2.8</v>
      </c>
      <c r="J200">
        <v>292</v>
      </c>
      <c r="K200">
        <v>-1.7</v>
      </c>
      <c r="L200">
        <v>184</v>
      </c>
      <c r="M200">
        <v>10.3</v>
      </c>
      <c r="N200">
        <v>188</v>
      </c>
      <c r="O200">
        <v>1.117</v>
      </c>
      <c r="P200">
        <v>126</v>
      </c>
      <c r="Q200">
        <v>1.0429999999999999</v>
      </c>
      <c r="R200">
        <v>309</v>
      </c>
      <c r="S200">
        <v>0.28599999999999998</v>
      </c>
      <c r="T200">
        <v>135</v>
      </c>
      <c r="U200">
        <v>0.96499999999999997</v>
      </c>
      <c r="V200">
        <v>89</v>
      </c>
      <c r="W200">
        <v>0.94</v>
      </c>
      <c r="X200">
        <v>172</v>
      </c>
      <c r="Y200">
        <v>1.036</v>
      </c>
      <c r="Z200">
        <v>286</v>
      </c>
      <c r="AA200">
        <v>1.079</v>
      </c>
      <c r="AB200">
        <v>243</v>
      </c>
      <c r="AC200" s="21">
        <v>0.497</v>
      </c>
      <c r="AD200" s="21">
        <v>0.48799999999999999</v>
      </c>
      <c r="AE200">
        <v>216</v>
      </c>
      <c r="AF200">
        <v>296</v>
      </c>
      <c r="AG200" s="21">
        <v>0.53300000000000003</v>
      </c>
      <c r="AH200">
        <v>194</v>
      </c>
      <c r="AI200">
        <v>19.446000000000002</v>
      </c>
      <c r="AJ200">
        <v>351</v>
      </c>
      <c r="AK200" s="21">
        <v>0.3</v>
      </c>
      <c r="AL200">
        <v>24</v>
      </c>
      <c r="AM200" s="21">
        <v>0.39100000000000001</v>
      </c>
      <c r="AN200">
        <v>62</v>
      </c>
      <c r="AO200" s="21">
        <v>0.36099999999999999</v>
      </c>
      <c r="AP200">
        <v>289</v>
      </c>
      <c r="AQ200" s="21">
        <v>0.35699999999999998</v>
      </c>
      <c r="AR200">
        <v>248</v>
      </c>
      <c r="AS200" s="21">
        <v>0.253</v>
      </c>
      <c r="AT200">
        <v>355</v>
      </c>
      <c r="AU200" s="21">
        <v>0.66400000000000003</v>
      </c>
      <c r="AV200">
        <v>92</v>
      </c>
      <c r="AW200">
        <v>71.8</v>
      </c>
      <c r="AX200">
        <v>68</v>
      </c>
      <c r="AY200" s="21">
        <v>0.152</v>
      </c>
      <c r="AZ200">
        <v>26</v>
      </c>
      <c r="BA200" s="21">
        <v>0.20200000000000001</v>
      </c>
    </row>
    <row r="201" spans="1:53" x14ac:dyDescent="0.25">
      <c r="A201" s="1" t="s">
        <v>200</v>
      </c>
      <c r="B201">
        <v>200</v>
      </c>
      <c r="C201">
        <v>-2.1</v>
      </c>
      <c r="D201">
        <v>209</v>
      </c>
      <c r="E201">
        <v>-0.5</v>
      </c>
      <c r="F201">
        <v>113</v>
      </c>
      <c r="G201">
        <v>0.6</v>
      </c>
      <c r="H201">
        <v>201</v>
      </c>
      <c r="I201">
        <v>-2.9</v>
      </c>
      <c r="J201">
        <v>120</v>
      </c>
      <c r="K201">
        <v>0.9</v>
      </c>
      <c r="L201">
        <v>201</v>
      </c>
      <c r="M201">
        <v>10.5</v>
      </c>
      <c r="N201">
        <v>221</v>
      </c>
      <c r="O201">
        <v>1.0429999999999999</v>
      </c>
      <c r="P201">
        <v>292</v>
      </c>
      <c r="Q201">
        <v>1.2969999999999999</v>
      </c>
      <c r="R201">
        <v>158</v>
      </c>
      <c r="S201">
        <v>0.5</v>
      </c>
      <c r="T201">
        <v>66</v>
      </c>
      <c r="U201">
        <v>0.98099999999999998</v>
      </c>
      <c r="V201">
        <v>220</v>
      </c>
      <c r="W201">
        <v>0.96299999999999997</v>
      </c>
      <c r="X201">
        <v>290</v>
      </c>
      <c r="Y201">
        <v>0.98899999999999999</v>
      </c>
      <c r="Z201">
        <v>224</v>
      </c>
      <c r="AA201">
        <v>1.0529999999999999</v>
      </c>
      <c r="AB201">
        <v>341</v>
      </c>
      <c r="AC201" s="21">
        <v>0.46100000000000002</v>
      </c>
      <c r="AD201" s="21">
        <v>0.46</v>
      </c>
      <c r="AE201">
        <v>326</v>
      </c>
      <c r="AF201">
        <v>265</v>
      </c>
      <c r="AG201" s="21">
        <v>0.52600000000000002</v>
      </c>
      <c r="AH201">
        <v>185</v>
      </c>
      <c r="AI201">
        <v>19.57</v>
      </c>
      <c r="AJ201">
        <v>102</v>
      </c>
      <c r="AK201" s="21">
        <v>0.223</v>
      </c>
      <c r="AL201">
        <v>265</v>
      </c>
      <c r="AM201" s="21">
        <v>0.28399999999999997</v>
      </c>
      <c r="AN201">
        <v>225</v>
      </c>
      <c r="AO201" s="21">
        <v>0.32800000000000001</v>
      </c>
      <c r="AP201">
        <v>139</v>
      </c>
      <c r="AQ201" s="21">
        <v>0.33200000000000002</v>
      </c>
      <c r="AR201">
        <v>197</v>
      </c>
      <c r="AS201" s="21">
        <v>0.27500000000000002</v>
      </c>
      <c r="AT201">
        <v>194</v>
      </c>
      <c r="AU201" s="21">
        <v>0.72099999999999997</v>
      </c>
      <c r="AV201">
        <v>103</v>
      </c>
      <c r="AW201">
        <v>71.7</v>
      </c>
      <c r="AX201">
        <v>58</v>
      </c>
      <c r="AY201" s="21">
        <v>0.151</v>
      </c>
      <c r="AZ201">
        <v>220</v>
      </c>
      <c r="BA201" s="21">
        <v>0.16200000000000001</v>
      </c>
    </row>
    <row r="202" spans="1:53" x14ac:dyDescent="0.25">
      <c r="A202" s="1" t="s">
        <v>166</v>
      </c>
      <c r="B202">
        <v>201</v>
      </c>
      <c r="C202">
        <v>-2.2000000000000002</v>
      </c>
      <c r="D202">
        <v>160</v>
      </c>
      <c r="E202">
        <v>0.7</v>
      </c>
      <c r="F202">
        <v>162</v>
      </c>
      <c r="G202">
        <v>-1.5</v>
      </c>
      <c r="H202">
        <v>55</v>
      </c>
      <c r="I202">
        <v>3.4</v>
      </c>
      <c r="J202">
        <v>192</v>
      </c>
      <c r="K202">
        <v>-0.1</v>
      </c>
      <c r="L202">
        <v>256</v>
      </c>
      <c r="M202">
        <v>10.9</v>
      </c>
      <c r="N202">
        <v>204</v>
      </c>
      <c r="O202">
        <v>1.0820000000000001</v>
      </c>
      <c r="P202">
        <v>338</v>
      </c>
      <c r="Q202">
        <v>1.49</v>
      </c>
      <c r="R202">
        <v>213</v>
      </c>
      <c r="S202">
        <v>0.45500000000000002</v>
      </c>
      <c r="T202">
        <v>91</v>
      </c>
      <c r="U202">
        <v>0.97399999999999998</v>
      </c>
      <c r="V202">
        <v>322</v>
      </c>
      <c r="W202">
        <v>0.98499999999999999</v>
      </c>
      <c r="X202">
        <v>164</v>
      </c>
      <c r="Y202">
        <v>1.042</v>
      </c>
      <c r="Z202">
        <v>260</v>
      </c>
      <c r="AA202">
        <v>1.0669999999999999</v>
      </c>
      <c r="AB202">
        <v>217</v>
      </c>
      <c r="AC202" s="21">
        <v>0.501</v>
      </c>
      <c r="AD202" s="21">
        <v>0.49099999999999999</v>
      </c>
      <c r="AE202">
        <v>200</v>
      </c>
      <c r="AF202">
        <v>216</v>
      </c>
      <c r="AG202" s="21">
        <v>0.51400000000000001</v>
      </c>
      <c r="AH202">
        <v>220</v>
      </c>
      <c r="AI202">
        <v>18.843</v>
      </c>
      <c r="AJ202">
        <v>55</v>
      </c>
      <c r="AK202" s="21">
        <v>0.21099999999999999</v>
      </c>
      <c r="AL202">
        <v>174</v>
      </c>
      <c r="AM202" s="21">
        <v>0.317</v>
      </c>
      <c r="AN202">
        <v>329</v>
      </c>
      <c r="AO202" s="21">
        <v>0.30599999999999999</v>
      </c>
      <c r="AP202">
        <v>308</v>
      </c>
      <c r="AQ202" s="21">
        <v>0.35899999999999999</v>
      </c>
      <c r="AR202">
        <v>50</v>
      </c>
      <c r="AS202" s="21">
        <v>0.32600000000000001</v>
      </c>
      <c r="AT202">
        <v>315</v>
      </c>
      <c r="AU202" s="21">
        <v>0.69</v>
      </c>
      <c r="AV202">
        <v>300</v>
      </c>
      <c r="AW202">
        <v>67.7</v>
      </c>
      <c r="AX202">
        <v>234</v>
      </c>
      <c r="AY202" s="21">
        <v>0.17499999999999999</v>
      </c>
      <c r="AZ202">
        <v>247</v>
      </c>
      <c r="BA202" s="21">
        <v>0.158</v>
      </c>
    </row>
    <row r="203" spans="1:53" x14ac:dyDescent="0.25">
      <c r="A203" s="1" t="s">
        <v>251</v>
      </c>
      <c r="B203">
        <v>202</v>
      </c>
      <c r="C203">
        <v>-2.2000000000000002</v>
      </c>
      <c r="D203">
        <v>265</v>
      </c>
      <c r="E203">
        <v>-4.7</v>
      </c>
      <c r="F203">
        <v>227</v>
      </c>
      <c r="G203">
        <v>-3.5</v>
      </c>
      <c r="H203">
        <v>230</v>
      </c>
      <c r="I203">
        <v>-3.7</v>
      </c>
      <c r="J203">
        <v>61</v>
      </c>
      <c r="K203">
        <v>1.8</v>
      </c>
      <c r="L203">
        <v>311</v>
      </c>
      <c r="M203">
        <v>11.6</v>
      </c>
      <c r="N203">
        <v>197</v>
      </c>
      <c r="O203">
        <v>1.0980000000000001</v>
      </c>
      <c r="P203">
        <v>172</v>
      </c>
      <c r="Q203">
        <v>1.1140000000000001</v>
      </c>
      <c r="R203">
        <v>36</v>
      </c>
      <c r="S203">
        <v>0.72699999999999998</v>
      </c>
      <c r="T203">
        <v>81</v>
      </c>
      <c r="U203">
        <v>0.97699999999999998</v>
      </c>
      <c r="V203">
        <v>245</v>
      </c>
      <c r="W203">
        <v>0.96699999999999997</v>
      </c>
      <c r="X203">
        <v>291</v>
      </c>
      <c r="Y203">
        <v>0.98799999999999999</v>
      </c>
      <c r="Z203">
        <v>52</v>
      </c>
      <c r="AA203">
        <v>0.98099999999999998</v>
      </c>
      <c r="AB203">
        <v>321</v>
      </c>
      <c r="AC203" s="21">
        <v>0.47199999999999998</v>
      </c>
      <c r="AD203" s="21">
        <v>0.48399999999999999</v>
      </c>
      <c r="AE203">
        <v>241</v>
      </c>
      <c r="AF203">
        <v>41</v>
      </c>
      <c r="AG203" s="21">
        <v>0.47599999999999998</v>
      </c>
      <c r="AH203">
        <v>287</v>
      </c>
      <c r="AI203">
        <v>17.434000000000001</v>
      </c>
      <c r="AJ203">
        <v>220</v>
      </c>
      <c r="AK203" s="21">
        <v>0.253</v>
      </c>
      <c r="AL203">
        <v>202</v>
      </c>
      <c r="AM203" s="21">
        <v>0.30499999999999999</v>
      </c>
      <c r="AN203">
        <v>81</v>
      </c>
      <c r="AO203" s="21">
        <v>0.35599999999999998</v>
      </c>
      <c r="AP203">
        <v>50</v>
      </c>
      <c r="AQ203" s="21">
        <v>0.314</v>
      </c>
      <c r="AR203">
        <v>35</v>
      </c>
      <c r="AS203" s="21">
        <v>0.33400000000000002</v>
      </c>
      <c r="AT203">
        <v>262</v>
      </c>
      <c r="AU203" s="21">
        <v>0.70699999999999996</v>
      </c>
      <c r="AV203">
        <v>278</v>
      </c>
      <c r="AW203">
        <v>68.3</v>
      </c>
      <c r="AX203">
        <v>291</v>
      </c>
      <c r="AY203" s="21">
        <v>0.184</v>
      </c>
      <c r="AZ203">
        <v>153</v>
      </c>
      <c r="BA203" s="21">
        <v>0.17100000000000001</v>
      </c>
    </row>
    <row r="204" spans="1:53" x14ac:dyDescent="0.25">
      <c r="A204" s="1" t="s">
        <v>170</v>
      </c>
      <c r="B204">
        <v>203</v>
      </c>
      <c r="C204">
        <v>-2.2000000000000002</v>
      </c>
      <c r="D204">
        <v>310</v>
      </c>
      <c r="E204">
        <v>-11</v>
      </c>
      <c r="F204">
        <v>206</v>
      </c>
      <c r="G204">
        <v>-3</v>
      </c>
      <c r="H204">
        <v>204</v>
      </c>
      <c r="I204">
        <v>-3</v>
      </c>
      <c r="J204">
        <v>189</v>
      </c>
      <c r="K204">
        <v>-0.1</v>
      </c>
      <c r="L204">
        <v>335</v>
      </c>
      <c r="M204">
        <v>12.1</v>
      </c>
      <c r="N204">
        <v>303</v>
      </c>
      <c r="O204">
        <v>0.92300000000000004</v>
      </c>
      <c r="P204">
        <v>359</v>
      </c>
      <c r="Q204">
        <v>1.6739999999999999</v>
      </c>
      <c r="R204">
        <v>346</v>
      </c>
      <c r="S204">
        <v>0.14299999999999999</v>
      </c>
      <c r="T204">
        <v>101</v>
      </c>
      <c r="U204">
        <v>0.97</v>
      </c>
      <c r="V204">
        <v>361</v>
      </c>
      <c r="W204">
        <v>1.024</v>
      </c>
      <c r="X204">
        <v>126</v>
      </c>
      <c r="Y204">
        <v>1.0589999999999999</v>
      </c>
      <c r="Z204">
        <v>203</v>
      </c>
      <c r="AA204">
        <v>1.0469999999999999</v>
      </c>
      <c r="AB204">
        <v>212</v>
      </c>
      <c r="AC204" s="21">
        <v>0.502</v>
      </c>
      <c r="AD204" s="21">
        <v>0.505</v>
      </c>
      <c r="AE204">
        <v>123</v>
      </c>
      <c r="AF204">
        <v>56</v>
      </c>
      <c r="AG204" s="21">
        <v>0.48099999999999998</v>
      </c>
      <c r="AH204">
        <v>23</v>
      </c>
      <c r="AI204">
        <v>23.969000000000001</v>
      </c>
      <c r="AJ204">
        <v>25</v>
      </c>
      <c r="AK204" s="21">
        <v>0.19700000000000001</v>
      </c>
      <c r="AL204">
        <v>175</v>
      </c>
      <c r="AM204" s="21">
        <v>0.317</v>
      </c>
      <c r="AN204">
        <v>224</v>
      </c>
      <c r="AO204" s="21">
        <v>0.32800000000000001</v>
      </c>
      <c r="AP204">
        <v>118</v>
      </c>
      <c r="AQ204" s="21">
        <v>0.32900000000000001</v>
      </c>
      <c r="AR204">
        <v>12</v>
      </c>
      <c r="AS204" s="21">
        <v>0.35599999999999998</v>
      </c>
      <c r="AT204">
        <v>269</v>
      </c>
      <c r="AU204" s="21">
        <v>0.70499999999999996</v>
      </c>
      <c r="AV204">
        <v>318</v>
      </c>
      <c r="AW204">
        <v>67.3</v>
      </c>
      <c r="AX204">
        <v>300</v>
      </c>
      <c r="AY204" s="21">
        <v>0.186</v>
      </c>
      <c r="AZ204">
        <v>353</v>
      </c>
      <c r="BA204" s="21">
        <v>0.129</v>
      </c>
    </row>
    <row r="205" spans="1:53" x14ac:dyDescent="0.25">
      <c r="A205" s="1" t="s">
        <v>77</v>
      </c>
      <c r="B205">
        <v>204</v>
      </c>
      <c r="C205">
        <v>-2.2000000000000002</v>
      </c>
      <c r="D205">
        <v>225</v>
      </c>
      <c r="E205">
        <v>-2</v>
      </c>
      <c r="F205">
        <v>242</v>
      </c>
      <c r="G205">
        <v>-3.9</v>
      </c>
      <c r="H205">
        <v>277</v>
      </c>
      <c r="I205">
        <v>-5</v>
      </c>
      <c r="J205">
        <v>186</v>
      </c>
      <c r="K205">
        <v>0</v>
      </c>
      <c r="L205">
        <v>290</v>
      </c>
      <c r="M205">
        <v>11.3</v>
      </c>
      <c r="N205">
        <v>254</v>
      </c>
      <c r="O205">
        <v>1.014</v>
      </c>
      <c r="P205">
        <v>38</v>
      </c>
      <c r="Q205">
        <v>0.91700000000000004</v>
      </c>
      <c r="R205">
        <v>130</v>
      </c>
      <c r="S205">
        <v>0.55600000000000005</v>
      </c>
      <c r="T205">
        <v>175</v>
      </c>
      <c r="U205">
        <v>0.95699999999999996</v>
      </c>
      <c r="V205">
        <v>18</v>
      </c>
      <c r="W205">
        <v>0.91</v>
      </c>
      <c r="X205">
        <v>108</v>
      </c>
      <c r="Y205">
        <v>1.0680000000000001</v>
      </c>
      <c r="Z205">
        <v>247</v>
      </c>
      <c r="AA205">
        <v>1.0620000000000001</v>
      </c>
      <c r="AB205">
        <v>146</v>
      </c>
      <c r="AC205" s="21">
        <v>0.51300000000000001</v>
      </c>
      <c r="AD205" s="21">
        <v>0.50700000000000001</v>
      </c>
      <c r="AE205">
        <v>112</v>
      </c>
      <c r="AF205">
        <v>350</v>
      </c>
      <c r="AG205" s="21">
        <v>0.55900000000000005</v>
      </c>
      <c r="AH205">
        <v>4</v>
      </c>
      <c r="AI205">
        <v>25.934999999999999</v>
      </c>
      <c r="AJ205">
        <v>278</v>
      </c>
      <c r="AK205" s="21">
        <v>0.26400000000000001</v>
      </c>
      <c r="AL205">
        <v>338</v>
      </c>
      <c r="AM205" s="21">
        <v>0.247</v>
      </c>
      <c r="AN205">
        <v>220</v>
      </c>
      <c r="AO205" s="21">
        <v>0.32900000000000001</v>
      </c>
      <c r="AP205">
        <v>174</v>
      </c>
      <c r="AQ205" s="21">
        <v>0.33700000000000002</v>
      </c>
      <c r="AR205">
        <v>100</v>
      </c>
      <c r="AS205" s="21">
        <v>0.30599999999999999</v>
      </c>
      <c r="AT205">
        <v>210</v>
      </c>
      <c r="AU205" s="21">
        <v>0.71799999999999997</v>
      </c>
      <c r="AV205">
        <v>106</v>
      </c>
      <c r="AW205">
        <v>71.7</v>
      </c>
      <c r="AX205">
        <v>245</v>
      </c>
      <c r="AY205" s="21">
        <v>0.17699999999999999</v>
      </c>
      <c r="AZ205">
        <v>25</v>
      </c>
      <c r="BA205" s="21">
        <v>0.20300000000000001</v>
      </c>
    </row>
    <row r="206" spans="1:53" x14ac:dyDescent="0.25">
      <c r="A206" s="1" t="s">
        <v>568</v>
      </c>
      <c r="B206">
        <v>205</v>
      </c>
      <c r="C206">
        <v>-2.2000000000000002</v>
      </c>
      <c r="D206">
        <v>232</v>
      </c>
      <c r="E206">
        <v>-2.4</v>
      </c>
      <c r="F206">
        <v>184</v>
      </c>
      <c r="G206">
        <v>-2.6</v>
      </c>
      <c r="H206">
        <v>177</v>
      </c>
      <c r="I206">
        <v>-2.2999999999999998</v>
      </c>
      <c r="J206">
        <v>147</v>
      </c>
      <c r="K206">
        <v>0.5</v>
      </c>
      <c r="L206">
        <v>42</v>
      </c>
      <c r="M206">
        <v>8.6999999999999993</v>
      </c>
      <c r="N206">
        <v>225</v>
      </c>
      <c r="O206">
        <v>1.04</v>
      </c>
      <c r="P206">
        <v>84</v>
      </c>
      <c r="Q206">
        <v>0.98699999999999999</v>
      </c>
      <c r="R206">
        <v>150</v>
      </c>
      <c r="S206">
        <v>0.53900000000000003</v>
      </c>
      <c r="T206">
        <v>229</v>
      </c>
      <c r="U206">
        <v>0.94599999999999995</v>
      </c>
      <c r="V206">
        <v>129</v>
      </c>
      <c r="W206">
        <v>0.94799999999999995</v>
      </c>
      <c r="X206">
        <v>228</v>
      </c>
      <c r="Y206">
        <v>1.014</v>
      </c>
      <c r="Z206">
        <v>100</v>
      </c>
      <c r="AA206">
        <v>1.008</v>
      </c>
      <c r="AB206">
        <v>160</v>
      </c>
      <c r="AC206" s="21">
        <v>0.51100000000000001</v>
      </c>
      <c r="AD206" s="21">
        <v>0.51500000000000001</v>
      </c>
      <c r="AE206">
        <v>84</v>
      </c>
      <c r="AF206">
        <v>145</v>
      </c>
      <c r="AG206" s="21">
        <v>0.503</v>
      </c>
      <c r="AH206">
        <v>334</v>
      </c>
      <c r="AI206">
        <v>16.097000000000001</v>
      </c>
      <c r="AJ206">
        <v>103</v>
      </c>
      <c r="AK206" s="21">
        <v>0.223</v>
      </c>
      <c r="AL206">
        <v>244</v>
      </c>
      <c r="AM206" s="21">
        <v>0.28999999999999998</v>
      </c>
      <c r="AN206">
        <v>182</v>
      </c>
      <c r="AO206" s="21">
        <v>0.33700000000000002</v>
      </c>
      <c r="AP206">
        <v>248</v>
      </c>
      <c r="AQ206" s="21">
        <v>0.34899999999999998</v>
      </c>
      <c r="AR206">
        <v>145</v>
      </c>
      <c r="AS206" s="21">
        <v>0.28799999999999998</v>
      </c>
      <c r="AT206">
        <v>214</v>
      </c>
      <c r="AU206" s="21">
        <v>0.71799999999999997</v>
      </c>
      <c r="AV206">
        <v>230</v>
      </c>
      <c r="AW206">
        <v>69.099999999999994</v>
      </c>
      <c r="AX206">
        <v>273</v>
      </c>
      <c r="AY206" s="21">
        <v>0.18</v>
      </c>
      <c r="AZ206">
        <v>114</v>
      </c>
      <c r="BA206" s="21">
        <v>0.17699999999999999</v>
      </c>
    </row>
    <row r="207" spans="1:53" x14ac:dyDescent="0.25">
      <c r="A207" s="1" t="s">
        <v>2</v>
      </c>
      <c r="B207">
        <v>206</v>
      </c>
      <c r="C207">
        <v>-2.2999999999999998</v>
      </c>
      <c r="D207">
        <v>269</v>
      </c>
      <c r="E207">
        <v>-5.2</v>
      </c>
      <c r="F207">
        <v>270</v>
      </c>
      <c r="G207">
        <v>-4.5999999999999996</v>
      </c>
      <c r="H207">
        <v>206</v>
      </c>
      <c r="I207">
        <v>-3</v>
      </c>
      <c r="J207">
        <v>72</v>
      </c>
      <c r="K207">
        <v>1.6</v>
      </c>
      <c r="L207">
        <v>316</v>
      </c>
      <c r="M207">
        <v>11.6</v>
      </c>
      <c r="N207">
        <v>234</v>
      </c>
      <c r="O207">
        <v>1.03</v>
      </c>
      <c r="P207">
        <v>130</v>
      </c>
      <c r="Q207">
        <v>1.052</v>
      </c>
      <c r="R207">
        <v>72</v>
      </c>
      <c r="S207">
        <v>0.63600000000000001</v>
      </c>
      <c r="T207">
        <v>223</v>
      </c>
      <c r="U207">
        <v>0.94699999999999995</v>
      </c>
      <c r="V207">
        <v>152</v>
      </c>
      <c r="W207">
        <v>0.95199999999999996</v>
      </c>
      <c r="X207">
        <v>293</v>
      </c>
      <c r="Y207">
        <v>0.98699999999999999</v>
      </c>
      <c r="Z207">
        <v>76</v>
      </c>
      <c r="AA207">
        <v>0.99399999999999999</v>
      </c>
      <c r="AB207">
        <v>268</v>
      </c>
      <c r="AC207" s="21">
        <v>0.49</v>
      </c>
      <c r="AD207" s="21">
        <v>0.46899999999999997</v>
      </c>
      <c r="AE207">
        <v>291</v>
      </c>
      <c r="AF207">
        <v>84</v>
      </c>
      <c r="AG207" s="21">
        <v>0.48799999999999999</v>
      </c>
      <c r="AH207">
        <v>281</v>
      </c>
      <c r="AI207">
        <v>17.72</v>
      </c>
      <c r="AJ207">
        <v>49</v>
      </c>
      <c r="AK207" s="21">
        <v>0.20799999999999999</v>
      </c>
      <c r="AL207">
        <v>78</v>
      </c>
      <c r="AM207" s="21">
        <v>0.35299999999999998</v>
      </c>
      <c r="AN207">
        <v>251</v>
      </c>
      <c r="AO207" s="21">
        <v>0.32300000000000001</v>
      </c>
      <c r="AP207">
        <v>125</v>
      </c>
      <c r="AQ207" s="21">
        <v>0.33</v>
      </c>
      <c r="AR207">
        <v>284</v>
      </c>
      <c r="AS207" s="21">
        <v>0.24099999999999999</v>
      </c>
      <c r="AT207">
        <v>13</v>
      </c>
      <c r="AU207" s="21">
        <v>0.77300000000000002</v>
      </c>
      <c r="AV207">
        <v>359</v>
      </c>
      <c r="AW207">
        <v>65.400000000000006</v>
      </c>
      <c r="AX207">
        <v>178</v>
      </c>
      <c r="AY207" s="21">
        <v>0.16700000000000001</v>
      </c>
      <c r="AZ207">
        <v>281</v>
      </c>
      <c r="BA207" s="21">
        <v>0.153</v>
      </c>
    </row>
    <row r="208" spans="1:53" x14ac:dyDescent="0.25">
      <c r="A208" s="1" t="s">
        <v>93</v>
      </c>
      <c r="B208">
        <v>207</v>
      </c>
      <c r="C208">
        <v>-2.2999999999999998</v>
      </c>
      <c r="D208">
        <v>136</v>
      </c>
      <c r="E208">
        <v>2.9</v>
      </c>
      <c r="F208">
        <v>154</v>
      </c>
      <c r="G208">
        <v>-1.2</v>
      </c>
      <c r="H208">
        <v>290</v>
      </c>
      <c r="I208">
        <v>-5.5</v>
      </c>
      <c r="J208">
        <v>215</v>
      </c>
      <c r="K208">
        <v>-0.5</v>
      </c>
      <c r="L208">
        <v>134</v>
      </c>
      <c r="M208">
        <v>9.9</v>
      </c>
      <c r="N208">
        <v>161</v>
      </c>
      <c r="O208">
        <v>1.159</v>
      </c>
      <c r="P208">
        <v>209</v>
      </c>
      <c r="Q208">
        <v>1.1719999999999999</v>
      </c>
      <c r="R208">
        <v>47</v>
      </c>
      <c r="S208">
        <v>0.7</v>
      </c>
      <c r="T208">
        <v>63</v>
      </c>
      <c r="U208">
        <v>0.98199999999999998</v>
      </c>
      <c r="V208">
        <v>93</v>
      </c>
      <c r="W208">
        <v>0.94099999999999995</v>
      </c>
      <c r="X208">
        <v>188</v>
      </c>
      <c r="Y208">
        <v>1.03</v>
      </c>
      <c r="Z208">
        <v>268</v>
      </c>
      <c r="AA208">
        <v>1.07</v>
      </c>
      <c r="AB208">
        <v>309</v>
      </c>
      <c r="AC208" s="21">
        <v>0.47699999999999998</v>
      </c>
      <c r="AD208" s="21">
        <v>0.46200000000000002</v>
      </c>
      <c r="AE208">
        <v>316</v>
      </c>
      <c r="AF208">
        <v>308</v>
      </c>
      <c r="AG208" s="21">
        <v>0.53700000000000003</v>
      </c>
      <c r="AH208">
        <v>54</v>
      </c>
      <c r="AI208">
        <v>22.42</v>
      </c>
      <c r="AJ208">
        <v>247</v>
      </c>
      <c r="AK208" s="21">
        <v>0.25800000000000001</v>
      </c>
      <c r="AL208">
        <v>206</v>
      </c>
      <c r="AM208" s="21">
        <v>0.30499999999999999</v>
      </c>
      <c r="AN208">
        <v>252</v>
      </c>
      <c r="AO208" s="21">
        <v>0.32300000000000001</v>
      </c>
      <c r="AP208">
        <v>269</v>
      </c>
      <c r="AQ208" s="21">
        <v>0.35199999999999998</v>
      </c>
      <c r="AR208">
        <v>252</v>
      </c>
      <c r="AS208" s="21">
        <v>0.252</v>
      </c>
      <c r="AT208">
        <v>117</v>
      </c>
      <c r="AU208" s="21">
        <v>0.73499999999999999</v>
      </c>
      <c r="AV208">
        <v>174</v>
      </c>
      <c r="AW208">
        <v>70.400000000000006</v>
      </c>
      <c r="AX208">
        <v>16</v>
      </c>
      <c r="AY208" s="21">
        <v>0.13700000000000001</v>
      </c>
      <c r="AZ208">
        <v>175</v>
      </c>
      <c r="BA208" s="21">
        <v>0.16800000000000001</v>
      </c>
    </row>
    <row r="209" spans="1:53" x14ac:dyDescent="0.25">
      <c r="A209" s="1" t="s">
        <v>154</v>
      </c>
      <c r="B209">
        <v>208</v>
      </c>
      <c r="C209">
        <v>-2.5</v>
      </c>
      <c r="D209">
        <v>174</v>
      </c>
      <c r="E209" t="s">
        <v>5</v>
      </c>
      <c r="F209">
        <v>198</v>
      </c>
      <c r="G209">
        <v>-2.9</v>
      </c>
      <c r="H209">
        <v>248</v>
      </c>
      <c r="I209">
        <v>-4.0999999999999996</v>
      </c>
      <c r="J209">
        <v>174</v>
      </c>
      <c r="K209">
        <v>0.1</v>
      </c>
      <c r="L209">
        <v>177</v>
      </c>
      <c r="M209">
        <v>10.3</v>
      </c>
      <c r="N209">
        <v>131</v>
      </c>
      <c r="O209">
        <v>1.22</v>
      </c>
      <c r="P209">
        <v>197</v>
      </c>
      <c r="Q209">
        <v>1.1539999999999999</v>
      </c>
      <c r="R209">
        <v>264</v>
      </c>
      <c r="S209">
        <v>0.375</v>
      </c>
      <c r="T209">
        <v>142</v>
      </c>
      <c r="U209">
        <v>0.96299999999999997</v>
      </c>
      <c r="V209">
        <v>292</v>
      </c>
      <c r="W209">
        <v>0.97499999999999998</v>
      </c>
      <c r="X209">
        <v>229</v>
      </c>
      <c r="Y209">
        <v>1.014</v>
      </c>
      <c r="Z209">
        <v>158</v>
      </c>
      <c r="AA209">
        <v>1.0269999999999999</v>
      </c>
      <c r="AB209">
        <v>154</v>
      </c>
      <c r="AC209" s="21">
        <v>0.51100000000000001</v>
      </c>
      <c r="AD209" s="21">
        <v>0.49099999999999999</v>
      </c>
      <c r="AE209">
        <v>200</v>
      </c>
      <c r="AF209">
        <v>101</v>
      </c>
      <c r="AG209" s="21">
        <v>0.49299999999999999</v>
      </c>
      <c r="AH209">
        <v>349</v>
      </c>
      <c r="AI209">
        <v>14.95</v>
      </c>
      <c r="AJ209">
        <v>97</v>
      </c>
      <c r="AK209" s="21">
        <v>0.222</v>
      </c>
      <c r="AL209">
        <v>114</v>
      </c>
      <c r="AM209" s="21">
        <v>0.33500000000000002</v>
      </c>
      <c r="AN209">
        <v>208</v>
      </c>
      <c r="AO209" s="21">
        <v>0.33100000000000002</v>
      </c>
      <c r="AP209">
        <v>122</v>
      </c>
      <c r="AQ209" s="21">
        <v>0.32900000000000001</v>
      </c>
      <c r="AR209">
        <v>166</v>
      </c>
      <c r="AS209" s="21">
        <v>0.28199999999999997</v>
      </c>
      <c r="AT209">
        <v>185</v>
      </c>
      <c r="AU209" s="21">
        <v>0.72399999999999998</v>
      </c>
      <c r="AV209">
        <v>184</v>
      </c>
      <c r="AW209">
        <v>70.2</v>
      </c>
      <c r="AX209">
        <v>173</v>
      </c>
      <c r="AY209" s="21">
        <v>0.16600000000000001</v>
      </c>
      <c r="AZ209">
        <v>283</v>
      </c>
      <c r="BA209" s="21">
        <v>0.153</v>
      </c>
    </row>
    <row r="210" spans="1:53" x14ac:dyDescent="0.25">
      <c r="A210" s="1" t="s">
        <v>214</v>
      </c>
      <c r="B210">
        <v>209</v>
      </c>
      <c r="C210">
        <v>-2.6</v>
      </c>
      <c r="D210">
        <v>312</v>
      </c>
      <c r="E210">
        <v>-11.2</v>
      </c>
      <c r="F210">
        <v>269</v>
      </c>
      <c r="G210">
        <v>-4.5999999999999996</v>
      </c>
      <c r="H210">
        <v>280</v>
      </c>
      <c r="I210">
        <v>-5</v>
      </c>
      <c r="J210">
        <v>144</v>
      </c>
      <c r="K210">
        <v>0.6</v>
      </c>
      <c r="L210">
        <v>86</v>
      </c>
      <c r="M210">
        <v>9.4</v>
      </c>
      <c r="N210">
        <v>248</v>
      </c>
      <c r="O210">
        <v>1.0189999999999999</v>
      </c>
      <c r="P210">
        <v>65</v>
      </c>
      <c r="Q210">
        <v>0.96699999999999997</v>
      </c>
      <c r="R210">
        <v>158</v>
      </c>
      <c r="S210">
        <v>0.5</v>
      </c>
      <c r="T210">
        <v>138</v>
      </c>
      <c r="U210">
        <v>0.96399999999999997</v>
      </c>
      <c r="V210">
        <v>64</v>
      </c>
      <c r="W210">
        <v>0.93300000000000005</v>
      </c>
      <c r="X210">
        <v>223</v>
      </c>
      <c r="Y210">
        <v>1.018</v>
      </c>
      <c r="Z210">
        <v>99</v>
      </c>
      <c r="AA210">
        <v>1.006</v>
      </c>
      <c r="AB210">
        <v>196</v>
      </c>
      <c r="AC210" s="21">
        <v>0.505</v>
      </c>
      <c r="AD210" s="21">
        <v>0.50700000000000001</v>
      </c>
      <c r="AE210">
        <v>112</v>
      </c>
      <c r="AF210">
        <v>134</v>
      </c>
      <c r="AG210" s="21">
        <v>0.5</v>
      </c>
      <c r="AH210">
        <v>263</v>
      </c>
      <c r="AI210">
        <v>18.047999999999998</v>
      </c>
      <c r="AJ210">
        <v>208</v>
      </c>
      <c r="AK210" s="21">
        <v>0.248</v>
      </c>
      <c r="AL210">
        <v>335</v>
      </c>
      <c r="AM210" s="21">
        <v>0.248</v>
      </c>
      <c r="AN210">
        <v>266</v>
      </c>
      <c r="AO210" s="21">
        <v>0.32</v>
      </c>
      <c r="AP210">
        <v>63</v>
      </c>
      <c r="AQ210" s="21">
        <v>0.317</v>
      </c>
      <c r="AR210">
        <v>66</v>
      </c>
      <c r="AS210" s="21">
        <v>0.32200000000000001</v>
      </c>
      <c r="AT210">
        <v>229</v>
      </c>
      <c r="AU210" s="21">
        <v>0.71499999999999997</v>
      </c>
      <c r="AV210">
        <v>165</v>
      </c>
      <c r="AW210">
        <v>70.5</v>
      </c>
      <c r="AX210">
        <v>268</v>
      </c>
      <c r="AY210" s="21">
        <v>0.17899999999999999</v>
      </c>
      <c r="AZ210">
        <v>58</v>
      </c>
      <c r="BA210" s="21">
        <v>0.191</v>
      </c>
    </row>
    <row r="211" spans="1:53" x14ac:dyDescent="0.25">
      <c r="A211" s="1" t="s">
        <v>180</v>
      </c>
      <c r="B211">
        <v>210</v>
      </c>
      <c r="C211">
        <v>-2.6</v>
      </c>
      <c r="D211">
        <v>200</v>
      </c>
      <c r="E211">
        <v>-0.1</v>
      </c>
      <c r="F211">
        <v>224</v>
      </c>
      <c r="G211">
        <v>-3.4</v>
      </c>
      <c r="H211">
        <v>118</v>
      </c>
      <c r="I211">
        <v>-0.4</v>
      </c>
      <c r="J211">
        <v>44</v>
      </c>
      <c r="K211">
        <v>2.1</v>
      </c>
      <c r="L211">
        <v>175</v>
      </c>
      <c r="M211">
        <v>10.3</v>
      </c>
      <c r="N211">
        <v>260</v>
      </c>
      <c r="O211">
        <v>1.0029999999999999</v>
      </c>
      <c r="P211">
        <v>69</v>
      </c>
      <c r="Q211">
        <v>0.97199999999999998</v>
      </c>
      <c r="R211">
        <v>309</v>
      </c>
      <c r="S211">
        <v>0.28599999999999998</v>
      </c>
      <c r="T211">
        <v>149</v>
      </c>
      <c r="U211">
        <v>0.96099999999999997</v>
      </c>
      <c r="V211">
        <v>100</v>
      </c>
      <c r="W211">
        <v>0.94299999999999995</v>
      </c>
      <c r="X211">
        <v>227</v>
      </c>
      <c r="Y211">
        <v>1.0149999999999999</v>
      </c>
      <c r="Z211">
        <v>122</v>
      </c>
      <c r="AA211">
        <v>1.0149999999999999</v>
      </c>
      <c r="AB211">
        <v>223</v>
      </c>
      <c r="AC211" s="21">
        <v>0.501</v>
      </c>
      <c r="AD211" s="21">
        <v>0.49299999999999999</v>
      </c>
      <c r="AE211">
        <v>190</v>
      </c>
      <c r="AF211">
        <v>173</v>
      </c>
      <c r="AG211" s="21">
        <v>0.50700000000000001</v>
      </c>
      <c r="AH211">
        <v>325</v>
      </c>
      <c r="AI211">
        <v>16.347999999999999</v>
      </c>
      <c r="AJ211">
        <v>201</v>
      </c>
      <c r="AK211" s="21">
        <v>0.247</v>
      </c>
      <c r="AL211">
        <v>181</v>
      </c>
      <c r="AM211" s="21">
        <v>0.315</v>
      </c>
      <c r="AN211">
        <v>34</v>
      </c>
      <c r="AO211" s="21">
        <v>0.37</v>
      </c>
      <c r="AP211">
        <v>231</v>
      </c>
      <c r="AQ211" s="21">
        <v>0.34599999999999997</v>
      </c>
      <c r="AR211">
        <v>44</v>
      </c>
      <c r="AS211" s="21">
        <v>0.32700000000000001</v>
      </c>
      <c r="AT211">
        <v>223</v>
      </c>
      <c r="AU211" s="21">
        <v>0.71599999999999997</v>
      </c>
      <c r="AV211">
        <v>178</v>
      </c>
      <c r="AW211">
        <v>70.3</v>
      </c>
      <c r="AX211">
        <v>310</v>
      </c>
      <c r="AY211" s="21">
        <v>0.189</v>
      </c>
      <c r="AZ211">
        <v>88</v>
      </c>
      <c r="BA211" s="21">
        <v>0.183</v>
      </c>
    </row>
    <row r="212" spans="1:53" x14ac:dyDescent="0.25">
      <c r="A212" s="1" t="s">
        <v>187</v>
      </c>
      <c r="B212">
        <v>211</v>
      </c>
      <c r="C212">
        <v>-2.7</v>
      </c>
      <c r="D212">
        <v>256</v>
      </c>
      <c r="E212">
        <v>-4</v>
      </c>
      <c r="F212">
        <v>233</v>
      </c>
      <c r="G212">
        <v>-3.7</v>
      </c>
      <c r="H212">
        <v>166</v>
      </c>
      <c r="I212">
        <v>-1.9</v>
      </c>
      <c r="J212">
        <v>126</v>
      </c>
      <c r="K212">
        <v>0.8</v>
      </c>
      <c r="L212">
        <v>272</v>
      </c>
      <c r="M212">
        <v>11.1</v>
      </c>
      <c r="N212">
        <v>70</v>
      </c>
      <c r="O212">
        <v>1.331</v>
      </c>
      <c r="P212">
        <v>161</v>
      </c>
      <c r="Q212">
        <v>1.0980000000000001</v>
      </c>
      <c r="R212">
        <v>93</v>
      </c>
      <c r="S212">
        <v>0.6</v>
      </c>
      <c r="T212">
        <v>7</v>
      </c>
      <c r="U212">
        <v>1.02</v>
      </c>
      <c r="V212">
        <v>230</v>
      </c>
      <c r="W212">
        <v>0.96499999999999997</v>
      </c>
      <c r="X212">
        <v>79</v>
      </c>
      <c r="Y212">
        <v>1.0820000000000001</v>
      </c>
      <c r="Z212">
        <v>275</v>
      </c>
      <c r="AA212">
        <v>1.0740000000000001</v>
      </c>
      <c r="AB212">
        <v>240</v>
      </c>
      <c r="AC212" s="21">
        <v>0.497</v>
      </c>
      <c r="AD212" s="21">
        <v>0.48699999999999999</v>
      </c>
      <c r="AE212">
        <v>223</v>
      </c>
      <c r="AF212">
        <v>264</v>
      </c>
      <c r="AG212" s="21">
        <v>0.52600000000000002</v>
      </c>
      <c r="AH212">
        <v>258</v>
      </c>
      <c r="AI212">
        <v>18.206</v>
      </c>
      <c r="AJ212">
        <v>147</v>
      </c>
      <c r="AK212" s="21">
        <v>0.23499999999999999</v>
      </c>
      <c r="AL212">
        <v>54</v>
      </c>
      <c r="AM212" s="21">
        <v>0.37</v>
      </c>
      <c r="AN212">
        <v>118</v>
      </c>
      <c r="AO212" s="21">
        <v>0.34899999999999998</v>
      </c>
      <c r="AP212">
        <v>281</v>
      </c>
      <c r="AQ212" s="21">
        <v>0.35499999999999998</v>
      </c>
      <c r="AR212">
        <v>88</v>
      </c>
      <c r="AS212" s="21">
        <v>0.31</v>
      </c>
      <c r="AT212">
        <v>317</v>
      </c>
      <c r="AU212" s="21">
        <v>0.68899999999999995</v>
      </c>
      <c r="AV212">
        <v>156</v>
      </c>
      <c r="AW212">
        <v>70.7</v>
      </c>
      <c r="AX212">
        <v>14</v>
      </c>
      <c r="AY212" s="21">
        <v>0.13500000000000001</v>
      </c>
      <c r="AZ212">
        <v>129</v>
      </c>
      <c r="BA212" s="21">
        <v>0.17399999999999999</v>
      </c>
    </row>
    <row r="213" spans="1:53" x14ac:dyDescent="0.25">
      <c r="A213" s="1" t="s">
        <v>128</v>
      </c>
      <c r="B213">
        <v>212</v>
      </c>
      <c r="C213">
        <v>-2.7</v>
      </c>
      <c r="D213">
        <v>250</v>
      </c>
      <c r="E213">
        <v>-3.6</v>
      </c>
      <c r="F213">
        <v>268</v>
      </c>
      <c r="G213">
        <v>-4.5999999999999996</v>
      </c>
      <c r="H213">
        <v>168</v>
      </c>
      <c r="I213">
        <v>-1.9</v>
      </c>
      <c r="J213">
        <v>93</v>
      </c>
      <c r="K213">
        <v>1.2</v>
      </c>
      <c r="L213">
        <v>50</v>
      </c>
      <c r="M213">
        <v>8.9</v>
      </c>
      <c r="N213">
        <v>207</v>
      </c>
      <c r="O213">
        <v>1.071</v>
      </c>
      <c r="P213">
        <v>237</v>
      </c>
      <c r="Q213">
        <v>1.204</v>
      </c>
      <c r="R213">
        <v>47</v>
      </c>
      <c r="S213">
        <v>0.7</v>
      </c>
      <c r="T213">
        <v>103</v>
      </c>
      <c r="U213">
        <v>0.97</v>
      </c>
      <c r="V213">
        <v>110</v>
      </c>
      <c r="W213">
        <v>0.94499999999999995</v>
      </c>
      <c r="X213">
        <v>225</v>
      </c>
      <c r="Y213">
        <v>1.0169999999999999</v>
      </c>
      <c r="Z213">
        <v>74</v>
      </c>
      <c r="AA213">
        <v>0.99299999999999999</v>
      </c>
      <c r="AB213">
        <v>290</v>
      </c>
      <c r="AC213" s="21">
        <v>0.48399999999999999</v>
      </c>
      <c r="AD213" s="21">
        <v>0.46400000000000002</v>
      </c>
      <c r="AE213">
        <v>308</v>
      </c>
      <c r="AF213">
        <v>110</v>
      </c>
      <c r="AG213" s="21">
        <v>0.495</v>
      </c>
      <c r="AH213">
        <v>156</v>
      </c>
      <c r="AI213">
        <v>20.105</v>
      </c>
      <c r="AJ213">
        <v>60</v>
      </c>
      <c r="AK213" s="21">
        <v>0.21199999999999999</v>
      </c>
      <c r="AL213">
        <v>271</v>
      </c>
      <c r="AM213" s="21">
        <v>0.28100000000000003</v>
      </c>
      <c r="AN213">
        <v>346</v>
      </c>
      <c r="AO213" s="21">
        <v>0.29799999999999999</v>
      </c>
      <c r="AP213">
        <v>315</v>
      </c>
      <c r="AQ213" s="21">
        <v>0.36099999999999999</v>
      </c>
      <c r="AR213">
        <v>75</v>
      </c>
      <c r="AS213" s="21">
        <v>0.318</v>
      </c>
      <c r="AT213">
        <v>42</v>
      </c>
      <c r="AU213" s="21">
        <v>0.754</v>
      </c>
      <c r="AV213">
        <v>54</v>
      </c>
      <c r="AW213">
        <v>72.7</v>
      </c>
      <c r="AX213">
        <v>244</v>
      </c>
      <c r="AY213" s="21">
        <v>0.17699999999999999</v>
      </c>
      <c r="AZ213">
        <v>172</v>
      </c>
      <c r="BA213" s="21">
        <v>0.16800000000000001</v>
      </c>
    </row>
    <row r="214" spans="1:53" x14ac:dyDescent="0.25">
      <c r="A214" s="1" t="s">
        <v>191</v>
      </c>
      <c r="B214">
        <v>213</v>
      </c>
      <c r="C214">
        <v>-2.7</v>
      </c>
      <c r="D214">
        <v>322</v>
      </c>
      <c r="E214">
        <v>-12.8</v>
      </c>
      <c r="F214">
        <v>219</v>
      </c>
      <c r="G214">
        <v>-3.2</v>
      </c>
      <c r="H214">
        <v>289</v>
      </c>
      <c r="I214">
        <v>-5.4</v>
      </c>
      <c r="J214">
        <v>212</v>
      </c>
      <c r="K214">
        <v>-0.5</v>
      </c>
      <c r="L214">
        <v>361</v>
      </c>
      <c r="M214">
        <v>13.6</v>
      </c>
      <c r="N214">
        <v>111</v>
      </c>
      <c r="O214">
        <v>1.244</v>
      </c>
      <c r="P214">
        <v>331</v>
      </c>
      <c r="Q214">
        <v>1.4570000000000001</v>
      </c>
      <c r="R214">
        <v>130</v>
      </c>
      <c r="S214">
        <v>0.55600000000000005</v>
      </c>
      <c r="T214">
        <v>274</v>
      </c>
      <c r="U214">
        <v>0.93500000000000005</v>
      </c>
      <c r="V214">
        <v>251</v>
      </c>
      <c r="W214">
        <v>0.96799999999999997</v>
      </c>
      <c r="X214">
        <v>252</v>
      </c>
      <c r="Y214">
        <v>1.008</v>
      </c>
      <c r="Z214">
        <v>80</v>
      </c>
      <c r="AA214">
        <v>0.998</v>
      </c>
      <c r="AB214">
        <v>204</v>
      </c>
      <c r="AC214" s="21">
        <v>0.503</v>
      </c>
      <c r="AD214" s="21">
        <v>0.48599999999999999</v>
      </c>
      <c r="AE214">
        <v>228</v>
      </c>
      <c r="AF214">
        <v>95</v>
      </c>
      <c r="AG214" s="21">
        <v>0.49099999999999999</v>
      </c>
      <c r="AH214">
        <v>242</v>
      </c>
      <c r="AI214">
        <v>18.594999999999999</v>
      </c>
      <c r="AJ214">
        <v>14</v>
      </c>
      <c r="AK214" s="21">
        <v>0.183</v>
      </c>
      <c r="AL214">
        <v>36</v>
      </c>
      <c r="AM214" s="21">
        <v>0.38400000000000001</v>
      </c>
      <c r="AN214">
        <v>175</v>
      </c>
      <c r="AO214" s="21">
        <v>0.33900000000000002</v>
      </c>
      <c r="AP214">
        <v>7</v>
      </c>
      <c r="AQ214" s="21">
        <v>0.29599999999999999</v>
      </c>
      <c r="AR214">
        <v>340</v>
      </c>
      <c r="AS214" s="21">
        <v>0.21</v>
      </c>
      <c r="AT214">
        <v>5</v>
      </c>
      <c r="AU214" s="21">
        <v>0.78300000000000003</v>
      </c>
      <c r="AV214">
        <v>33</v>
      </c>
      <c r="AW214">
        <v>73.599999999999994</v>
      </c>
      <c r="AX214">
        <v>114</v>
      </c>
      <c r="AY214" s="21">
        <v>0.158</v>
      </c>
      <c r="AZ214">
        <v>344</v>
      </c>
      <c r="BA214" s="21">
        <v>0.13500000000000001</v>
      </c>
    </row>
    <row r="215" spans="1:53" x14ac:dyDescent="0.25">
      <c r="A215" s="1" t="s">
        <v>241</v>
      </c>
      <c r="B215">
        <v>214</v>
      </c>
      <c r="C215">
        <v>-2.9</v>
      </c>
      <c r="D215">
        <v>202</v>
      </c>
      <c r="E215">
        <v>-0.1</v>
      </c>
      <c r="F215">
        <v>119</v>
      </c>
      <c r="G215">
        <v>0.2</v>
      </c>
      <c r="H215">
        <v>210</v>
      </c>
      <c r="I215">
        <v>-3.2</v>
      </c>
      <c r="J215">
        <v>234</v>
      </c>
      <c r="K215">
        <v>-0.7</v>
      </c>
      <c r="L215">
        <v>129</v>
      </c>
      <c r="M215">
        <v>9.8000000000000007</v>
      </c>
      <c r="N215">
        <v>253</v>
      </c>
      <c r="O215">
        <v>1.014</v>
      </c>
      <c r="P215">
        <v>203</v>
      </c>
      <c r="Q215">
        <v>1.1639999999999999</v>
      </c>
      <c r="R215">
        <v>213</v>
      </c>
      <c r="S215">
        <v>0.45500000000000002</v>
      </c>
      <c r="T215">
        <v>144</v>
      </c>
      <c r="U215">
        <v>0.96199999999999997</v>
      </c>
      <c r="V215">
        <v>201</v>
      </c>
      <c r="W215">
        <v>0.96</v>
      </c>
      <c r="X215">
        <v>245</v>
      </c>
      <c r="Y215">
        <v>1.01</v>
      </c>
      <c r="Z215">
        <v>285</v>
      </c>
      <c r="AA215">
        <v>1.079</v>
      </c>
      <c r="AB215">
        <v>284</v>
      </c>
      <c r="AC215" s="21">
        <v>0.48699999999999999</v>
      </c>
      <c r="AD215" s="21">
        <v>0.47499999999999998</v>
      </c>
      <c r="AE215">
        <v>273</v>
      </c>
      <c r="AF215">
        <v>274</v>
      </c>
      <c r="AG215" s="21">
        <v>0.52800000000000002</v>
      </c>
      <c r="AH215">
        <v>170</v>
      </c>
      <c r="AI215">
        <v>19.797999999999998</v>
      </c>
      <c r="AJ215">
        <v>322</v>
      </c>
      <c r="AK215" s="21">
        <v>0.28199999999999997</v>
      </c>
      <c r="AL215">
        <v>131</v>
      </c>
      <c r="AM215" s="21">
        <v>0.32900000000000001</v>
      </c>
      <c r="AN215">
        <v>263</v>
      </c>
      <c r="AO215" s="21">
        <v>0.32</v>
      </c>
      <c r="AP215">
        <v>283</v>
      </c>
      <c r="AQ215" s="21">
        <v>0.35499999999999998</v>
      </c>
      <c r="AR215">
        <v>109</v>
      </c>
      <c r="AS215" s="21">
        <v>0.30199999999999999</v>
      </c>
      <c r="AT215">
        <v>191</v>
      </c>
      <c r="AU215" s="21">
        <v>0.72199999999999998</v>
      </c>
      <c r="AV215">
        <v>52</v>
      </c>
      <c r="AW215">
        <v>72.8</v>
      </c>
      <c r="AX215">
        <v>271</v>
      </c>
      <c r="AY215" s="21">
        <v>0.18</v>
      </c>
      <c r="AZ215">
        <v>211</v>
      </c>
      <c r="BA215" s="21">
        <v>0.16200000000000001</v>
      </c>
    </row>
    <row r="216" spans="1:53" x14ac:dyDescent="0.25">
      <c r="A216" s="1" t="s">
        <v>32</v>
      </c>
      <c r="B216">
        <v>215</v>
      </c>
      <c r="C216">
        <v>-3</v>
      </c>
      <c r="D216">
        <v>223</v>
      </c>
      <c r="E216">
        <v>-1.9</v>
      </c>
      <c r="F216">
        <v>183</v>
      </c>
      <c r="G216">
        <v>-2.6</v>
      </c>
      <c r="H216">
        <v>141</v>
      </c>
      <c r="I216">
        <v>-1</v>
      </c>
      <c r="J216">
        <v>46</v>
      </c>
      <c r="K216">
        <v>2.1</v>
      </c>
      <c r="L216">
        <v>319</v>
      </c>
      <c r="M216">
        <v>11.7</v>
      </c>
      <c r="N216">
        <v>65</v>
      </c>
      <c r="O216">
        <v>1.3440000000000001</v>
      </c>
      <c r="P216">
        <v>283</v>
      </c>
      <c r="Q216">
        <v>1.2809999999999999</v>
      </c>
      <c r="R216">
        <v>3</v>
      </c>
      <c r="S216">
        <v>0.88900000000000001</v>
      </c>
      <c r="T216">
        <v>28</v>
      </c>
      <c r="U216">
        <v>0.998</v>
      </c>
      <c r="V216">
        <v>257</v>
      </c>
      <c r="W216">
        <v>0.96899999999999997</v>
      </c>
      <c r="X216">
        <v>67</v>
      </c>
      <c r="Y216">
        <v>1.0940000000000001</v>
      </c>
      <c r="Z216">
        <v>350</v>
      </c>
      <c r="AA216">
        <v>1.139</v>
      </c>
      <c r="AB216">
        <v>195</v>
      </c>
      <c r="AC216" s="21">
        <v>0.505</v>
      </c>
      <c r="AD216" s="21">
        <v>0.499</v>
      </c>
      <c r="AE216">
        <v>157</v>
      </c>
      <c r="AF216">
        <v>357</v>
      </c>
      <c r="AG216" s="21">
        <v>0.56399999999999995</v>
      </c>
      <c r="AH216">
        <v>39</v>
      </c>
      <c r="AI216">
        <v>22.95</v>
      </c>
      <c r="AJ216">
        <v>37</v>
      </c>
      <c r="AK216" s="21">
        <v>0.20300000000000001</v>
      </c>
      <c r="AL216">
        <v>357</v>
      </c>
      <c r="AM216" s="21">
        <v>0.22500000000000001</v>
      </c>
      <c r="AN216">
        <v>188</v>
      </c>
      <c r="AO216" s="21">
        <v>0.33600000000000002</v>
      </c>
      <c r="AP216">
        <v>357</v>
      </c>
      <c r="AQ216" s="21">
        <v>0.38200000000000001</v>
      </c>
      <c r="AR216">
        <v>148</v>
      </c>
      <c r="AS216" s="21">
        <v>0.28699999999999998</v>
      </c>
      <c r="AT216">
        <v>252</v>
      </c>
      <c r="AU216" s="21">
        <v>0.71</v>
      </c>
      <c r="AV216">
        <v>125</v>
      </c>
      <c r="AW216">
        <v>71.2</v>
      </c>
      <c r="AX216">
        <v>9</v>
      </c>
      <c r="AY216" s="21">
        <v>0.13400000000000001</v>
      </c>
      <c r="AZ216">
        <v>293</v>
      </c>
      <c r="BA216" s="21">
        <v>0.151</v>
      </c>
    </row>
    <row r="217" spans="1:53" x14ac:dyDescent="0.25">
      <c r="A217" s="1" t="s">
        <v>569</v>
      </c>
      <c r="B217">
        <v>216</v>
      </c>
      <c r="C217">
        <v>-3.1</v>
      </c>
      <c r="D217">
        <v>289</v>
      </c>
      <c r="E217">
        <v>-7</v>
      </c>
      <c r="F217">
        <v>176</v>
      </c>
      <c r="G217">
        <v>-2.4</v>
      </c>
      <c r="H217">
        <v>209</v>
      </c>
      <c r="I217">
        <v>-3.1</v>
      </c>
      <c r="J217">
        <v>288</v>
      </c>
      <c r="K217">
        <v>-1.6</v>
      </c>
      <c r="L217">
        <v>59</v>
      </c>
      <c r="M217">
        <v>9.1</v>
      </c>
      <c r="N217">
        <v>249</v>
      </c>
      <c r="O217">
        <v>1.018</v>
      </c>
      <c r="P217">
        <v>301</v>
      </c>
      <c r="Q217">
        <v>1.331</v>
      </c>
      <c r="R217">
        <v>279</v>
      </c>
      <c r="S217">
        <v>0.33300000000000002</v>
      </c>
      <c r="T217">
        <v>211</v>
      </c>
      <c r="U217">
        <v>0.94899999999999995</v>
      </c>
      <c r="V217">
        <v>309</v>
      </c>
      <c r="W217">
        <v>0.98</v>
      </c>
      <c r="X217">
        <v>203</v>
      </c>
      <c r="Y217">
        <v>1.0269999999999999</v>
      </c>
      <c r="Z217">
        <v>255</v>
      </c>
      <c r="AA217">
        <v>1.0649999999999999</v>
      </c>
      <c r="AB217">
        <v>126</v>
      </c>
      <c r="AC217" s="21">
        <v>0.51700000000000002</v>
      </c>
      <c r="AD217" s="21">
        <v>0.52</v>
      </c>
      <c r="AE217">
        <v>68</v>
      </c>
      <c r="AF217">
        <v>154</v>
      </c>
      <c r="AG217" s="21">
        <v>0.504</v>
      </c>
      <c r="AH217">
        <v>193</v>
      </c>
      <c r="AI217">
        <v>19.446000000000002</v>
      </c>
      <c r="AJ217">
        <v>230</v>
      </c>
      <c r="AK217" s="21">
        <v>0.254</v>
      </c>
      <c r="AL217">
        <v>80</v>
      </c>
      <c r="AM217" s="21">
        <v>0.35099999999999998</v>
      </c>
      <c r="AN217">
        <v>89</v>
      </c>
      <c r="AO217" s="21">
        <v>0.35399999999999998</v>
      </c>
      <c r="AP217">
        <v>311</v>
      </c>
      <c r="AQ217" s="21">
        <v>0.36</v>
      </c>
      <c r="AR217">
        <v>95</v>
      </c>
      <c r="AS217" s="21">
        <v>0.309</v>
      </c>
      <c r="AT217">
        <v>303</v>
      </c>
      <c r="AU217" s="21">
        <v>0.69399999999999995</v>
      </c>
      <c r="AV217">
        <v>132</v>
      </c>
      <c r="AW217">
        <v>71.099999999999994</v>
      </c>
      <c r="AX217">
        <v>306</v>
      </c>
      <c r="AY217" s="21">
        <v>0.188</v>
      </c>
      <c r="AZ217">
        <v>238</v>
      </c>
      <c r="BA217" s="21">
        <v>0.16</v>
      </c>
    </row>
    <row r="218" spans="1:53" x14ac:dyDescent="0.25">
      <c r="A218" s="1" t="s">
        <v>570</v>
      </c>
      <c r="B218">
        <v>217</v>
      </c>
      <c r="C218">
        <v>-3.2</v>
      </c>
      <c r="D218">
        <v>283</v>
      </c>
      <c r="E218">
        <v>-6.3</v>
      </c>
      <c r="F218">
        <v>204</v>
      </c>
      <c r="G218">
        <v>-3</v>
      </c>
      <c r="H218">
        <v>233</v>
      </c>
      <c r="I218">
        <v>-3.7</v>
      </c>
      <c r="J218">
        <v>91</v>
      </c>
      <c r="K218">
        <v>1.3</v>
      </c>
      <c r="L218">
        <v>198</v>
      </c>
      <c r="M218">
        <v>10.4</v>
      </c>
      <c r="N218">
        <v>113</v>
      </c>
      <c r="O218">
        <v>1.242</v>
      </c>
      <c r="P218">
        <v>177</v>
      </c>
      <c r="Q218">
        <v>1.131</v>
      </c>
      <c r="R218">
        <v>223</v>
      </c>
      <c r="S218">
        <v>0.44400000000000001</v>
      </c>
      <c r="T218">
        <v>304</v>
      </c>
      <c r="U218">
        <v>0.92900000000000005</v>
      </c>
      <c r="V218">
        <v>196</v>
      </c>
      <c r="W218">
        <v>0.95899999999999996</v>
      </c>
      <c r="X218">
        <v>121</v>
      </c>
      <c r="Y218">
        <v>1.06</v>
      </c>
      <c r="Z218">
        <v>303</v>
      </c>
      <c r="AA218">
        <v>1.0880000000000001</v>
      </c>
      <c r="AB218">
        <v>61</v>
      </c>
      <c r="AC218" s="21">
        <v>0.53700000000000003</v>
      </c>
      <c r="AD218" s="21">
        <v>0.52</v>
      </c>
      <c r="AE218">
        <v>68</v>
      </c>
      <c r="AF218">
        <v>302</v>
      </c>
      <c r="AG218" s="21">
        <v>0.53500000000000003</v>
      </c>
      <c r="AH218">
        <v>127</v>
      </c>
      <c r="AI218">
        <v>20.61</v>
      </c>
      <c r="AJ218">
        <v>242</v>
      </c>
      <c r="AK218" s="21">
        <v>0.25700000000000001</v>
      </c>
      <c r="AL218">
        <v>13</v>
      </c>
      <c r="AM218" s="21">
        <v>0.4</v>
      </c>
      <c r="AN218">
        <v>140</v>
      </c>
      <c r="AO218" s="21">
        <v>0.34499999999999997</v>
      </c>
      <c r="AP218">
        <v>242</v>
      </c>
      <c r="AQ218" s="21">
        <v>0.34799999999999998</v>
      </c>
      <c r="AR218">
        <v>276</v>
      </c>
      <c r="AS218" s="21">
        <v>0.24399999999999999</v>
      </c>
      <c r="AT218">
        <v>279</v>
      </c>
      <c r="AU218" s="21">
        <v>0.70099999999999996</v>
      </c>
      <c r="AV218">
        <v>78</v>
      </c>
      <c r="AW218">
        <v>72.099999999999994</v>
      </c>
      <c r="AX218">
        <v>255</v>
      </c>
      <c r="AY218" s="21">
        <v>0.17799999999999999</v>
      </c>
      <c r="AZ218">
        <v>143</v>
      </c>
      <c r="BA218" s="21">
        <v>0.17199999999999999</v>
      </c>
    </row>
    <row r="219" spans="1:53" x14ac:dyDescent="0.25">
      <c r="A219" s="1" t="s">
        <v>571</v>
      </c>
      <c r="B219">
        <v>218</v>
      </c>
      <c r="C219">
        <v>-3.2</v>
      </c>
      <c r="D219">
        <v>299</v>
      </c>
      <c r="E219">
        <v>-9</v>
      </c>
      <c r="F219">
        <v>247</v>
      </c>
      <c r="G219">
        <v>-4</v>
      </c>
      <c r="H219">
        <v>190</v>
      </c>
      <c r="I219">
        <v>-2.6</v>
      </c>
      <c r="J219">
        <v>328</v>
      </c>
      <c r="K219">
        <v>-2.4</v>
      </c>
      <c r="L219">
        <v>258</v>
      </c>
      <c r="M219">
        <v>11</v>
      </c>
      <c r="N219">
        <v>231</v>
      </c>
      <c r="O219">
        <v>1.0329999999999999</v>
      </c>
      <c r="P219">
        <v>187</v>
      </c>
      <c r="Q219">
        <v>1.145</v>
      </c>
      <c r="R219">
        <v>261</v>
      </c>
      <c r="S219">
        <v>0.38500000000000001</v>
      </c>
      <c r="T219">
        <v>185</v>
      </c>
      <c r="U219">
        <v>0.95399999999999996</v>
      </c>
      <c r="V219">
        <v>107</v>
      </c>
      <c r="W219">
        <v>0.94399999999999995</v>
      </c>
      <c r="X219">
        <v>200</v>
      </c>
      <c r="Y219">
        <v>1.028</v>
      </c>
      <c r="Z219">
        <v>216</v>
      </c>
      <c r="AA219">
        <v>1.052</v>
      </c>
      <c r="AB219">
        <v>234</v>
      </c>
      <c r="AC219" s="21">
        <v>0.498</v>
      </c>
      <c r="AD219" s="21">
        <v>0.49199999999999999</v>
      </c>
      <c r="AE219">
        <v>198</v>
      </c>
      <c r="AF219">
        <v>283</v>
      </c>
      <c r="AG219" s="21">
        <v>0.53100000000000003</v>
      </c>
      <c r="AH219">
        <v>95</v>
      </c>
      <c r="AI219">
        <v>21.428999999999998</v>
      </c>
      <c r="AJ219">
        <v>125</v>
      </c>
      <c r="AK219" s="21">
        <v>0.22900000000000001</v>
      </c>
      <c r="AL219">
        <v>333</v>
      </c>
      <c r="AM219" s="21">
        <v>0.249</v>
      </c>
      <c r="AN219">
        <v>299</v>
      </c>
      <c r="AO219" s="21">
        <v>0.313</v>
      </c>
      <c r="AP219">
        <v>304</v>
      </c>
      <c r="AQ219" s="21">
        <v>0.35899999999999999</v>
      </c>
      <c r="AR219">
        <v>126</v>
      </c>
      <c r="AS219" s="21">
        <v>0.29499999999999998</v>
      </c>
      <c r="AT219">
        <v>173</v>
      </c>
      <c r="AU219" s="21">
        <v>0.72499999999999998</v>
      </c>
      <c r="AV219">
        <v>154</v>
      </c>
      <c r="AW219">
        <v>70.7</v>
      </c>
      <c r="AX219">
        <v>213</v>
      </c>
      <c r="AY219" s="21">
        <v>0.17199999999999999</v>
      </c>
      <c r="AZ219">
        <v>105</v>
      </c>
      <c r="BA219" s="21">
        <v>0.17799999999999999</v>
      </c>
    </row>
    <row r="220" spans="1:53" x14ac:dyDescent="0.25">
      <c r="A220" s="1" t="s">
        <v>47</v>
      </c>
      <c r="B220">
        <v>219</v>
      </c>
      <c r="C220">
        <v>-3.2</v>
      </c>
      <c r="D220">
        <v>346</v>
      </c>
      <c r="E220">
        <v>-18.399999999999999</v>
      </c>
      <c r="F220">
        <v>272</v>
      </c>
      <c r="G220">
        <v>-4.5999999999999996</v>
      </c>
      <c r="H220">
        <v>140</v>
      </c>
      <c r="I220">
        <v>-1</v>
      </c>
      <c r="J220">
        <v>202</v>
      </c>
      <c r="K220">
        <v>-0.3</v>
      </c>
      <c r="L220">
        <v>45</v>
      </c>
      <c r="M220">
        <v>8.9</v>
      </c>
      <c r="N220">
        <v>230</v>
      </c>
      <c r="O220">
        <v>1.0349999999999999</v>
      </c>
      <c r="P220">
        <v>143</v>
      </c>
      <c r="Q220">
        <v>1.071</v>
      </c>
      <c r="R220">
        <v>142</v>
      </c>
      <c r="S220">
        <v>0.54600000000000004</v>
      </c>
      <c r="T220">
        <v>328</v>
      </c>
      <c r="U220">
        <v>0.91900000000000004</v>
      </c>
      <c r="V220">
        <v>119</v>
      </c>
      <c r="W220">
        <v>0.94699999999999995</v>
      </c>
      <c r="X220">
        <v>197</v>
      </c>
      <c r="Y220">
        <v>1.0289999999999999</v>
      </c>
      <c r="Z220">
        <v>127</v>
      </c>
      <c r="AA220">
        <v>1.016</v>
      </c>
      <c r="AB220">
        <v>57</v>
      </c>
      <c r="AC220" s="21">
        <v>0.53800000000000003</v>
      </c>
      <c r="AD220" s="21">
        <v>0.53400000000000003</v>
      </c>
      <c r="AE220">
        <v>40</v>
      </c>
      <c r="AF220">
        <v>148</v>
      </c>
      <c r="AG220" s="21">
        <v>0.503</v>
      </c>
      <c r="AH220">
        <v>211</v>
      </c>
      <c r="AI220">
        <v>18.988</v>
      </c>
      <c r="AJ220">
        <v>252</v>
      </c>
      <c r="AK220" s="21">
        <v>0.25900000000000001</v>
      </c>
      <c r="AL220">
        <v>134</v>
      </c>
      <c r="AM220" s="21">
        <v>0.32900000000000001</v>
      </c>
      <c r="AN220">
        <v>94</v>
      </c>
      <c r="AO220" s="21">
        <v>0.35299999999999998</v>
      </c>
      <c r="AP220">
        <v>239</v>
      </c>
      <c r="AQ220" s="21">
        <v>0.34699999999999998</v>
      </c>
      <c r="AR220">
        <v>281</v>
      </c>
      <c r="AS220" s="21">
        <v>0.24199999999999999</v>
      </c>
      <c r="AT220">
        <v>81</v>
      </c>
      <c r="AU220" s="21">
        <v>0.74399999999999999</v>
      </c>
      <c r="AV220">
        <v>83</v>
      </c>
      <c r="AW220">
        <v>72</v>
      </c>
      <c r="AX220">
        <v>287</v>
      </c>
      <c r="AY220" s="21">
        <v>0.182</v>
      </c>
      <c r="AZ220">
        <v>185</v>
      </c>
      <c r="BA220" s="21">
        <v>0.16600000000000001</v>
      </c>
    </row>
    <row r="221" spans="1:53" x14ac:dyDescent="0.25">
      <c r="A221" s="1" t="s">
        <v>572</v>
      </c>
      <c r="B221">
        <v>220</v>
      </c>
      <c r="C221">
        <v>-3.3</v>
      </c>
      <c r="D221">
        <v>287</v>
      </c>
      <c r="E221">
        <v>-6.7</v>
      </c>
      <c r="F221">
        <v>314</v>
      </c>
      <c r="G221">
        <v>-6.2</v>
      </c>
      <c r="H221">
        <v>235</v>
      </c>
      <c r="I221">
        <v>-3.8</v>
      </c>
      <c r="J221">
        <v>122</v>
      </c>
      <c r="K221">
        <v>0.8</v>
      </c>
      <c r="L221">
        <v>317</v>
      </c>
      <c r="M221">
        <v>11.6</v>
      </c>
      <c r="N221">
        <v>146</v>
      </c>
      <c r="O221">
        <v>1.1859999999999999</v>
      </c>
      <c r="P221">
        <v>4</v>
      </c>
      <c r="Q221">
        <v>0.753</v>
      </c>
      <c r="R221">
        <v>158</v>
      </c>
      <c r="S221">
        <v>0.5</v>
      </c>
      <c r="T221">
        <v>234</v>
      </c>
      <c r="U221">
        <v>0.94599999999999995</v>
      </c>
      <c r="V221">
        <v>71</v>
      </c>
      <c r="W221">
        <v>0.93600000000000005</v>
      </c>
      <c r="X221">
        <v>207</v>
      </c>
      <c r="Y221">
        <v>1.0249999999999999</v>
      </c>
      <c r="Z221">
        <v>55</v>
      </c>
      <c r="AA221">
        <v>0.98299999999999998</v>
      </c>
      <c r="AB221">
        <v>143</v>
      </c>
      <c r="AC221" s="21">
        <v>0.51300000000000001</v>
      </c>
      <c r="AD221" s="21">
        <v>0.48899999999999999</v>
      </c>
      <c r="AE221">
        <v>212</v>
      </c>
      <c r="AF221">
        <v>40</v>
      </c>
      <c r="AG221" s="21">
        <v>0.47599999999999998</v>
      </c>
      <c r="AH221">
        <v>296</v>
      </c>
      <c r="AI221">
        <v>17.204000000000001</v>
      </c>
      <c r="AJ221">
        <v>348</v>
      </c>
      <c r="AK221" s="21">
        <v>0.29699999999999999</v>
      </c>
      <c r="AL221">
        <v>217</v>
      </c>
      <c r="AM221" s="21">
        <v>0.30199999999999999</v>
      </c>
      <c r="AN221">
        <v>142</v>
      </c>
      <c r="AO221" s="21">
        <v>0.34499999999999997</v>
      </c>
      <c r="AP221">
        <v>12</v>
      </c>
      <c r="AQ221" s="21">
        <v>0.3</v>
      </c>
      <c r="AR221">
        <v>323</v>
      </c>
      <c r="AS221" s="21">
        <v>0.224</v>
      </c>
      <c r="AT221">
        <v>174</v>
      </c>
      <c r="AU221" s="21">
        <v>0.72499999999999998</v>
      </c>
      <c r="AV221">
        <v>162</v>
      </c>
      <c r="AW221">
        <v>70.5</v>
      </c>
      <c r="AX221">
        <v>67</v>
      </c>
      <c r="AY221" s="21">
        <v>0.152</v>
      </c>
      <c r="AZ221">
        <v>67</v>
      </c>
      <c r="BA221" s="21">
        <v>0.187</v>
      </c>
    </row>
    <row r="222" spans="1:53" x14ac:dyDescent="0.25">
      <c r="A222" s="1" t="s">
        <v>236</v>
      </c>
      <c r="B222">
        <v>221</v>
      </c>
      <c r="C222">
        <v>-3.3</v>
      </c>
      <c r="D222">
        <v>141</v>
      </c>
      <c r="E222">
        <v>2.7</v>
      </c>
      <c r="F222">
        <v>155</v>
      </c>
      <c r="G222">
        <v>-1.2</v>
      </c>
      <c r="H222">
        <v>116</v>
      </c>
      <c r="I222">
        <v>-0.3</v>
      </c>
      <c r="J222">
        <v>87</v>
      </c>
      <c r="K222">
        <v>1.3</v>
      </c>
      <c r="L222">
        <v>233</v>
      </c>
      <c r="M222">
        <v>10.7</v>
      </c>
      <c r="N222">
        <v>284</v>
      </c>
      <c r="O222">
        <v>0.96299999999999997</v>
      </c>
      <c r="P222">
        <v>113</v>
      </c>
      <c r="Q222">
        <v>1.02</v>
      </c>
      <c r="R222">
        <v>158</v>
      </c>
      <c r="S222">
        <v>0.5</v>
      </c>
      <c r="T222">
        <v>355</v>
      </c>
      <c r="U222">
        <v>0.90200000000000002</v>
      </c>
      <c r="V222">
        <v>142</v>
      </c>
      <c r="W222">
        <v>0.95099999999999996</v>
      </c>
      <c r="X222">
        <v>141</v>
      </c>
      <c r="Y222">
        <v>1.0529999999999999</v>
      </c>
      <c r="Z222">
        <v>281</v>
      </c>
      <c r="AA222">
        <v>1.0760000000000001</v>
      </c>
      <c r="AB222">
        <v>35</v>
      </c>
      <c r="AC222" s="21">
        <v>0.55200000000000005</v>
      </c>
      <c r="AD222" s="21">
        <v>0.54700000000000004</v>
      </c>
      <c r="AE222">
        <v>23</v>
      </c>
      <c r="AF222">
        <v>289</v>
      </c>
      <c r="AG222" s="21">
        <v>0.53200000000000003</v>
      </c>
      <c r="AH222">
        <v>316</v>
      </c>
      <c r="AI222">
        <v>16.59</v>
      </c>
      <c r="AJ222">
        <v>141</v>
      </c>
      <c r="AK222" s="21">
        <v>0.23300000000000001</v>
      </c>
      <c r="AL222">
        <v>4</v>
      </c>
      <c r="AM222" s="21">
        <v>0.42499999999999999</v>
      </c>
      <c r="AN222">
        <v>60</v>
      </c>
      <c r="AO222" s="21">
        <v>0.36299999999999999</v>
      </c>
      <c r="AP222">
        <v>219</v>
      </c>
      <c r="AQ222" s="21">
        <v>0.34399999999999997</v>
      </c>
      <c r="AR222">
        <v>244</v>
      </c>
      <c r="AS222" s="21">
        <v>0.255</v>
      </c>
      <c r="AT222">
        <v>342</v>
      </c>
      <c r="AU222" s="21">
        <v>0.67500000000000004</v>
      </c>
      <c r="AV222">
        <v>2</v>
      </c>
      <c r="AW222">
        <v>77.5</v>
      </c>
      <c r="AX222">
        <v>347</v>
      </c>
      <c r="AY222" s="21">
        <v>0.20300000000000001</v>
      </c>
      <c r="AZ222">
        <v>68</v>
      </c>
      <c r="BA222" s="21">
        <v>0.187</v>
      </c>
    </row>
    <row r="223" spans="1:53" x14ac:dyDescent="0.25">
      <c r="A223" s="1" t="s">
        <v>456</v>
      </c>
      <c r="B223">
        <v>222</v>
      </c>
      <c r="C223">
        <v>-3.3</v>
      </c>
      <c r="D223">
        <v>357</v>
      </c>
      <c r="E223">
        <v>-21.6</v>
      </c>
      <c r="F223">
        <v>258</v>
      </c>
      <c r="G223">
        <v>-4.3</v>
      </c>
      <c r="H223">
        <v>271</v>
      </c>
      <c r="I223">
        <v>-4.8</v>
      </c>
      <c r="J223">
        <v>266</v>
      </c>
      <c r="K223">
        <v>-1.1000000000000001</v>
      </c>
      <c r="L223">
        <v>239</v>
      </c>
      <c r="M223">
        <v>10.8</v>
      </c>
      <c r="N223">
        <v>196</v>
      </c>
      <c r="O223">
        <v>1.1020000000000001</v>
      </c>
      <c r="P223">
        <v>205</v>
      </c>
      <c r="Q223">
        <v>1.167</v>
      </c>
      <c r="R223">
        <v>223</v>
      </c>
      <c r="S223">
        <v>0.44400000000000001</v>
      </c>
      <c r="T223">
        <v>10</v>
      </c>
      <c r="U223">
        <v>1.016</v>
      </c>
      <c r="V223">
        <v>56</v>
      </c>
      <c r="W223">
        <v>0.92900000000000005</v>
      </c>
      <c r="X223">
        <v>130</v>
      </c>
      <c r="Y223">
        <v>1.056</v>
      </c>
      <c r="Z223">
        <v>227</v>
      </c>
      <c r="AA223">
        <v>1.0549999999999999</v>
      </c>
      <c r="AB223">
        <v>308</v>
      </c>
      <c r="AC223" s="21">
        <v>0.47799999999999998</v>
      </c>
      <c r="AD223" s="21">
        <v>0.44700000000000001</v>
      </c>
      <c r="AE223">
        <v>343</v>
      </c>
      <c r="AF223">
        <v>319</v>
      </c>
      <c r="AG223" s="21">
        <v>0.54100000000000004</v>
      </c>
      <c r="AH223">
        <v>60</v>
      </c>
      <c r="AI223">
        <v>22.260999999999999</v>
      </c>
      <c r="AJ223">
        <v>160</v>
      </c>
      <c r="AK223" s="21">
        <v>0.23799999999999999</v>
      </c>
      <c r="AL223">
        <v>268</v>
      </c>
      <c r="AM223" s="21">
        <v>0.28299999999999997</v>
      </c>
      <c r="AN223">
        <v>307</v>
      </c>
      <c r="AO223" s="21">
        <v>0.312</v>
      </c>
      <c r="AP223">
        <v>344</v>
      </c>
      <c r="AQ223" s="21">
        <v>0.373</v>
      </c>
      <c r="AR223">
        <v>5</v>
      </c>
      <c r="AS223" s="21">
        <v>0.375</v>
      </c>
      <c r="AT223">
        <v>44</v>
      </c>
      <c r="AU223" s="21">
        <v>0.754</v>
      </c>
      <c r="AV223">
        <v>270</v>
      </c>
      <c r="AW223">
        <v>68.400000000000006</v>
      </c>
      <c r="AX223">
        <v>126</v>
      </c>
      <c r="AY223" s="21">
        <v>0.159</v>
      </c>
      <c r="AZ223">
        <v>122</v>
      </c>
      <c r="BA223" s="21">
        <v>0.17499999999999999</v>
      </c>
    </row>
    <row r="224" spans="1:53" x14ac:dyDescent="0.25">
      <c r="A224" s="1" t="s">
        <v>450</v>
      </c>
      <c r="B224">
        <v>223</v>
      </c>
      <c r="C224">
        <v>-3.4</v>
      </c>
      <c r="D224">
        <v>99</v>
      </c>
      <c r="E224">
        <v>6.5</v>
      </c>
      <c r="F224">
        <v>230</v>
      </c>
      <c r="G224">
        <v>-3.7</v>
      </c>
      <c r="H224">
        <v>214</v>
      </c>
      <c r="I224">
        <v>-3.2</v>
      </c>
      <c r="J224">
        <v>304</v>
      </c>
      <c r="K224">
        <v>-1.8</v>
      </c>
      <c r="L224">
        <v>131</v>
      </c>
      <c r="M224">
        <v>9.8000000000000007</v>
      </c>
      <c r="N224">
        <v>134</v>
      </c>
      <c r="O224">
        <v>1.216</v>
      </c>
      <c r="P224">
        <v>325</v>
      </c>
      <c r="Q224">
        <v>1.417</v>
      </c>
      <c r="R224">
        <v>335</v>
      </c>
      <c r="S224">
        <v>0.222</v>
      </c>
      <c r="T224">
        <v>276</v>
      </c>
      <c r="U224">
        <v>0.93400000000000005</v>
      </c>
      <c r="V224">
        <v>308</v>
      </c>
      <c r="W224">
        <v>0.98</v>
      </c>
      <c r="X224">
        <v>73</v>
      </c>
      <c r="Y224">
        <v>1.087</v>
      </c>
      <c r="Z224">
        <v>330</v>
      </c>
      <c r="AA224">
        <v>1.1020000000000001</v>
      </c>
      <c r="AB224">
        <v>17</v>
      </c>
      <c r="AC224" s="21">
        <v>0.56299999999999994</v>
      </c>
      <c r="AD224" s="21">
        <v>0.54300000000000004</v>
      </c>
      <c r="AE224">
        <v>30</v>
      </c>
      <c r="AF224">
        <v>288</v>
      </c>
      <c r="AG224" s="21">
        <v>0.53200000000000003</v>
      </c>
      <c r="AH224">
        <v>341</v>
      </c>
      <c r="AI224">
        <v>15.635</v>
      </c>
      <c r="AJ224">
        <v>263</v>
      </c>
      <c r="AK224" s="21">
        <v>0.26</v>
      </c>
      <c r="AL224">
        <v>122</v>
      </c>
      <c r="AM224" s="21">
        <v>0.33300000000000002</v>
      </c>
      <c r="AN224">
        <v>7</v>
      </c>
      <c r="AO224" s="21">
        <v>0.38600000000000001</v>
      </c>
      <c r="AP224">
        <v>332</v>
      </c>
      <c r="AQ224" s="21">
        <v>0.36699999999999999</v>
      </c>
      <c r="AR224">
        <v>237</v>
      </c>
      <c r="AS224" s="21">
        <v>0.25700000000000001</v>
      </c>
      <c r="AT224">
        <v>116</v>
      </c>
      <c r="AU224" s="21">
        <v>0.73599999999999999</v>
      </c>
      <c r="AV224">
        <v>177</v>
      </c>
      <c r="AW224">
        <v>70.400000000000006</v>
      </c>
      <c r="AX224">
        <v>224</v>
      </c>
      <c r="AY224" s="21">
        <v>0.17399999999999999</v>
      </c>
      <c r="AZ224">
        <v>338</v>
      </c>
      <c r="BA224" s="21">
        <v>0.13800000000000001</v>
      </c>
    </row>
    <row r="225" spans="1:53" x14ac:dyDescent="0.25">
      <c r="A225" s="1" t="s">
        <v>199</v>
      </c>
      <c r="B225">
        <v>224</v>
      </c>
      <c r="C225">
        <v>-3.4</v>
      </c>
      <c r="D225">
        <v>231</v>
      </c>
      <c r="E225">
        <v>-2.2000000000000002</v>
      </c>
      <c r="F225">
        <v>205</v>
      </c>
      <c r="G225">
        <v>-3</v>
      </c>
      <c r="H225">
        <v>249</v>
      </c>
      <c r="I225">
        <v>-4.2</v>
      </c>
      <c r="J225">
        <v>148</v>
      </c>
      <c r="K225">
        <v>0.5</v>
      </c>
      <c r="L225">
        <v>308</v>
      </c>
      <c r="M225">
        <v>11.5</v>
      </c>
      <c r="N225">
        <v>334</v>
      </c>
      <c r="O225">
        <v>0.85199999999999998</v>
      </c>
      <c r="P225">
        <v>3</v>
      </c>
      <c r="Q225">
        <v>0.71699999999999997</v>
      </c>
      <c r="R225">
        <v>279</v>
      </c>
      <c r="S225">
        <v>0.33300000000000002</v>
      </c>
      <c r="T225">
        <v>331</v>
      </c>
      <c r="U225">
        <v>0.91700000000000004</v>
      </c>
      <c r="V225">
        <v>3</v>
      </c>
      <c r="W225">
        <v>0.88500000000000001</v>
      </c>
      <c r="X225">
        <v>344</v>
      </c>
      <c r="Y225">
        <v>0.93700000000000006</v>
      </c>
      <c r="Z225">
        <v>61</v>
      </c>
      <c r="AA225">
        <v>0.98499999999999999</v>
      </c>
      <c r="AB225">
        <v>332</v>
      </c>
      <c r="AC225" s="21">
        <v>0.46700000000000003</v>
      </c>
      <c r="AD225" s="21">
        <v>0.46899999999999997</v>
      </c>
      <c r="AE225">
        <v>291</v>
      </c>
      <c r="AF225">
        <v>219</v>
      </c>
      <c r="AG225" s="21">
        <v>0.51500000000000001</v>
      </c>
      <c r="AH225">
        <v>119</v>
      </c>
      <c r="AI225">
        <v>20.858000000000001</v>
      </c>
      <c r="AJ225">
        <v>363</v>
      </c>
      <c r="AK225" s="21">
        <v>0.32600000000000001</v>
      </c>
      <c r="AL225">
        <v>362</v>
      </c>
      <c r="AM225" s="21">
        <v>0.182</v>
      </c>
      <c r="AN225">
        <v>355</v>
      </c>
      <c r="AO225" s="21">
        <v>0.28899999999999998</v>
      </c>
      <c r="AP225">
        <v>109</v>
      </c>
      <c r="AQ225" s="21">
        <v>0.32600000000000001</v>
      </c>
      <c r="AR225">
        <v>180</v>
      </c>
      <c r="AS225" s="21">
        <v>0.27800000000000002</v>
      </c>
      <c r="AT225">
        <v>308</v>
      </c>
      <c r="AU225" s="21">
        <v>0.69299999999999995</v>
      </c>
      <c r="AV225">
        <v>80</v>
      </c>
      <c r="AW225">
        <v>72.099999999999994</v>
      </c>
      <c r="AX225">
        <v>350</v>
      </c>
      <c r="AY225" s="21">
        <v>0.20300000000000001</v>
      </c>
      <c r="AZ225">
        <v>1</v>
      </c>
      <c r="BA225" s="21">
        <v>0.23499999999999999</v>
      </c>
    </row>
    <row r="226" spans="1:53" x14ac:dyDescent="0.25">
      <c r="A226" s="1" t="s">
        <v>86</v>
      </c>
      <c r="B226">
        <v>225</v>
      </c>
      <c r="C226">
        <v>-3.4</v>
      </c>
      <c r="D226">
        <v>356</v>
      </c>
      <c r="E226">
        <v>-20.7</v>
      </c>
      <c r="F226">
        <v>236</v>
      </c>
      <c r="G226">
        <v>-3.7</v>
      </c>
      <c r="H226">
        <v>287</v>
      </c>
      <c r="I226">
        <v>-5.2</v>
      </c>
      <c r="J226">
        <v>275</v>
      </c>
      <c r="K226">
        <v>-1.3</v>
      </c>
      <c r="L226">
        <v>363</v>
      </c>
      <c r="M226">
        <v>13.8</v>
      </c>
      <c r="N226">
        <v>105</v>
      </c>
      <c r="O226">
        <v>1.2549999999999999</v>
      </c>
      <c r="P226">
        <v>152</v>
      </c>
      <c r="Q226">
        <v>1.08</v>
      </c>
      <c r="R226">
        <v>116</v>
      </c>
      <c r="S226">
        <v>0.57099999999999995</v>
      </c>
      <c r="T226">
        <v>222</v>
      </c>
      <c r="U226">
        <v>0.94699999999999995</v>
      </c>
      <c r="V226">
        <v>60</v>
      </c>
      <c r="W226">
        <v>0.93</v>
      </c>
      <c r="X226">
        <v>220</v>
      </c>
      <c r="Y226">
        <v>1.018</v>
      </c>
      <c r="Z226">
        <v>151</v>
      </c>
      <c r="AA226">
        <v>1.0249999999999999</v>
      </c>
      <c r="AB226">
        <v>226</v>
      </c>
      <c r="AC226" s="21">
        <v>0.5</v>
      </c>
      <c r="AD226" s="21">
        <v>0.501</v>
      </c>
      <c r="AE226">
        <v>148</v>
      </c>
      <c r="AF226">
        <v>258</v>
      </c>
      <c r="AG226" s="21">
        <v>0.52400000000000002</v>
      </c>
      <c r="AH226">
        <v>222</v>
      </c>
      <c r="AI226">
        <v>18.817</v>
      </c>
      <c r="AJ226">
        <v>84</v>
      </c>
      <c r="AK226" s="21">
        <v>0.218</v>
      </c>
      <c r="AL226">
        <v>144</v>
      </c>
      <c r="AM226" s="21">
        <v>0.32700000000000001</v>
      </c>
      <c r="AN226">
        <v>268</v>
      </c>
      <c r="AO226" s="21">
        <v>0.31900000000000001</v>
      </c>
      <c r="AP226">
        <v>41</v>
      </c>
      <c r="AQ226" s="21">
        <v>0.311</v>
      </c>
      <c r="AR226">
        <v>322</v>
      </c>
      <c r="AS226" s="21">
        <v>0.224</v>
      </c>
      <c r="AT226">
        <v>121</v>
      </c>
      <c r="AU226" s="21">
        <v>0.73499999999999999</v>
      </c>
      <c r="AV226">
        <v>303</v>
      </c>
      <c r="AW226">
        <v>67.7</v>
      </c>
      <c r="AX226">
        <v>87</v>
      </c>
      <c r="AY226" s="21">
        <v>0.155</v>
      </c>
      <c r="AZ226">
        <v>76</v>
      </c>
      <c r="BA226" s="21">
        <v>0.185</v>
      </c>
    </row>
    <row r="227" spans="1:53" x14ac:dyDescent="0.25">
      <c r="A227" s="1" t="s">
        <v>67</v>
      </c>
      <c r="B227">
        <v>226</v>
      </c>
      <c r="C227">
        <v>-3.5</v>
      </c>
      <c r="D227">
        <v>244</v>
      </c>
      <c r="E227">
        <v>-3.2</v>
      </c>
      <c r="F227">
        <v>266</v>
      </c>
      <c r="G227">
        <v>-4.5</v>
      </c>
      <c r="H227">
        <v>243</v>
      </c>
      <c r="I227">
        <v>-4</v>
      </c>
      <c r="J227">
        <v>131</v>
      </c>
      <c r="K227">
        <v>0.8</v>
      </c>
      <c r="L227">
        <v>11</v>
      </c>
      <c r="M227">
        <v>7.9</v>
      </c>
      <c r="N227">
        <v>269</v>
      </c>
      <c r="O227">
        <v>0.99199999999999999</v>
      </c>
      <c r="P227">
        <v>75</v>
      </c>
      <c r="Q227">
        <v>0.98199999999999998</v>
      </c>
      <c r="R227">
        <v>150</v>
      </c>
      <c r="S227">
        <v>0.53900000000000003</v>
      </c>
      <c r="T227">
        <v>146</v>
      </c>
      <c r="U227">
        <v>0.96199999999999997</v>
      </c>
      <c r="V227">
        <v>109</v>
      </c>
      <c r="W227">
        <v>0.94499999999999995</v>
      </c>
      <c r="X227">
        <v>191</v>
      </c>
      <c r="Y227">
        <v>1.03</v>
      </c>
      <c r="Z227">
        <v>141</v>
      </c>
      <c r="AA227">
        <v>1.02</v>
      </c>
      <c r="AB227">
        <v>264</v>
      </c>
      <c r="AC227" s="21">
        <v>0.49199999999999999</v>
      </c>
      <c r="AD227" s="21">
        <v>0.47899999999999998</v>
      </c>
      <c r="AE227">
        <v>260</v>
      </c>
      <c r="AF227">
        <v>209</v>
      </c>
      <c r="AG227" s="21">
        <v>0.51400000000000001</v>
      </c>
      <c r="AH227">
        <v>93</v>
      </c>
      <c r="AI227">
        <v>21.446000000000002</v>
      </c>
      <c r="AJ227">
        <v>257</v>
      </c>
      <c r="AK227" s="21">
        <v>0.25900000000000001</v>
      </c>
      <c r="AL227">
        <v>339</v>
      </c>
      <c r="AM227" s="21">
        <v>0.247</v>
      </c>
      <c r="AN227">
        <v>250</v>
      </c>
      <c r="AO227" s="21">
        <v>0.32400000000000001</v>
      </c>
      <c r="AP227">
        <v>177</v>
      </c>
      <c r="AQ227" s="21">
        <v>0.33700000000000002</v>
      </c>
      <c r="AR227">
        <v>134</v>
      </c>
      <c r="AS227" s="21">
        <v>0.29099999999999998</v>
      </c>
      <c r="AT227">
        <v>186</v>
      </c>
      <c r="AU227" s="21">
        <v>0.72299999999999998</v>
      </c>
      <c r="AV227">
        <v>228</v>
      </c>
      <c r="AW227">
        <v>69.2</v>
      </c>
      <c r="AX227">
        <v>198</v>
      </c>
      <c r="AY227" s="21">
        <v>0.17</v>
      </c>
      <c r="AZ227">
        <v>84</v>
      </c>
      <c r="BA227" s="21">
        <v>0.184</v>
      </c>
    </row>
    <row r="228" spans="1:53" x14ac:dyDescent="0.25">
      <c r="A228" s="1" t="s">
        <v>165</v>
      </c>
      <c r="B228">
        <v>227</v>
      </c>
      <c r="C228">
        <v>-3.5</v>
      </c>
      <c r="D228">
        <v>316</v>
      </c>
      <c r="E228">
        <v>-11.9</v>
      </c>
      <c r="F228">
        <v>310</v>
      </c>
      <c r="G228">
        <v>-6.2</v>
      </c>
      <c r="H228">
        <v>134</v>
      </c>
      <c r="I228">
        <v>-0.8</v>
      </c>
      <c r="J228">
        <v>125</v>
      </c>
      <c r="K228">
        <v>0.8</v>
      </c>
      <c r="L228">
        <v>92</v>
      </c>
      <c r="M228">
        <v>9.4</v>
      </c>
      <c r="N228">
        <v>297</v>
      </c>
      <c r="O228">
        <v>0.93700000000000006</v>
      </c>
      <c r="P228">
        <v>48</v>
      </c>
      <c r="Q228">
        <v>0.93300000000000005</v>
      </c>
      <c r="R228">
        <v>142</v>
      </c>
      <c r="S228">
        <v>0.54600000000000004</v>
      </c>
      <c r="T228">
        <v>111</v>
      </c>
      <c r="U228">
        <v>0.96799999999999997</v>
      </c>
      <c r="V228">
        <v>16</v>
      </c>
      <c r="W228">
        <v>0.90600000000000003</v>
      </c>
      <c r="X228">
        <v>309</v>
      </c>
      <c r="Y228">
        <v>0.98</v>
      </c>
      <c r="Z228">
        <v>23</v>
      </c>
      <c r="AA228">
        <v>0.96499999999999997</v>
      </c>
      <c r="AB228">
        <v>322</v>
      </c>
      <c r="AC228" s="21">
        <v>0.47199999999999998</v>
      </c>
      <c r="AD228" s="21">
        <v>0.46200000000000002</v>
      </c>
      <c r="AE228">
        <v>316</v>
      </c>
      <c r="AF228">
        <v>98</v>
      </c>
      <c r="AG228" s="21">
        <v>0.49199999999999999</v>
      </c>
      <c r="AH228">
        <v>136</v>
      </c>
      <c r="AI228">
        <v>20.492999999999999</v>
      </c>
      <c r="AJ228">
        <v>335</v>
      </c>
      <c r="AK228" s="21">
        <v>0.28699999999999998</v>
      </c>
      <c r="AL228">
        <v>317</v>
      </c>
      <c r="AM228" s="21">
        <v>0.26100000000000001</v>
      </c>
      <c r="AN228">
        <v>308</v>
      </c>
      <c r="AO228" s="21">
        <v>0.312</v>
      </c>
      <c r="AP228">
        <v>183</v>
      </c>
      <c r="AQ228" s="21">
        <v>0.33800000000000002</v>
      </c>
      <c r="AR228">
        <v>62</v>
      </c>
      <c r="AS228" s="21">
        <v>0.32200000000000001</v>
      </c>
      <c r="AT228">
        <v>99</v>
      </c>
      <c r="AU228" s="21">
        <v>0.73899999999999999</v>
      </c>
      <c r="AV228">
        <v>82</v>
      </c>
      <c r="AW228">
        <v>72</v>
      </c>
      <c r="AX228">
        <v>278</v>
      </c>
      <c r="AY228" s="21">
        <v>0.18099999999999999</v>
      </c>
      <c r="AZ228">
        <v>21</v>
      </c>
      <c r="BA228" s="21">
        <v>0.20599999999999999</v>
      </c>
    </row>
    <row r="229" spans="1:53" x14ac:dyDescent="0.25">
      <c r="A229" s="1" t="s">
        <v>80</v>
      </c>
      <c r="B229">
        <v>228</v>
      </c>
      <c r="C229">
        <v>-3.6</v>
      </c>
      <c r="D229">
        <v>254</v>
      </c>
      <c r="E229">
        <v>-3.7</v>
      </c>
      <c r="F229">
        <v>131</v>
      </c>
      <c r="G229">
        <v>-0.2</v>
      </c>
      <c r="H229">
        <v>266</v>
      </c>
      <c r="I229">
        <v>-4.5999999999999996</v>
      </c>
      <c r="J229">
        <v>312</v>
      </c>
      <c r="K229">
        <v>-2</v>
      </c>
      <c r="L229">
        <v>24</v>
      </c>
      <c r="M229">
        <v>8.3000000000000007</v>
      </c>
      <c r="N229">
        <v>172</v>
      </c>
      <c r="O229">
        <v>1.145</v>
      </c>
      <c r="P229">
        <v>246</v>
      </c>
      <c r="Q229">
        <v>1.2210000000000001</v>
      </c>
      <c r="R229">
        <v>213</v>
      </c>
      <c r="S229">
        <v>0.45500000000000002</v>
      </c>
      <c r="T229">
        <v>305</v>
      </c>
      <c r="U229">
        <v>0.92900000000000005</v>
      </c>
      <c r="V229">
        <v>207</v>
      </c>
      <c r="W229">
        <v>0.96199999999999997</v>
      </c>
      <c r="X229">
        <v>304</v>
      </c>
      <c r="Y229">
        <v>0.98099999999999998</v>
      </c>
      <c r="Z229">
        <v>293</v>
      </c>
      <c r="AA229">
        <v>1.0840000000000001</v>
      </c>
      <c r="AB229">
        <v>291</v>
      </c>
      <c r="AC229" s="21">
        <v>0.48399999999999999</v>
      </c>
      <c r="AD229" s="21">
        <v>0.46899999999999997</v>
      </c>
      <c r="AE229">
        <v>291</v>
      </c>
      <c r="AF229">
        <v>271</v>
      </c>
      <c r="AG229" s="21">
        <v>0.52700000000000002</v>
      </c>
      <c r="AH229">
        <v>190</v>
      </c>
      <c r="AI229">
        <v>19.475999999999999</v>
      </c>
      <c r="AJ229">
        <v>303</v>
      </c>
      <c r="AK229" s="21">
        <v>0.27200000000000002</v>
      </c>
      <c r="AL229">
        <v>76</v>
      </c>
      <c r="AM229" s="21">
        <v>0.35299999999999998</v>
      </c>
      <c r="AN229">
        <v>311</v>
      </c>
      <c r="AO229" s="21">
        <v>0.312</v>
      </c>
      <c r="AP229">
        <v>276</v>
      </c>
      <c r="AQ229" s="21">
        <v>0.35399999999999998</v>
      </c>
      <c r="AR229">
        <v>359</v>
      </c>
      <c r="AS229" s="21">
        <v>0.17699999999999999</v>
      </c>
      <c r="AT229">
        <v>85</v>
      </c>
      <c r="AU229" s="21">
        <v>0.74299999999999999</v>
      </c>
      <c r="AV229">
        <v>332</v>
      </c>
      <c r="AW229">
        <v>66.900000000000006</v>
      </c>
      <c r="AX229">
        <v>62</v>
      </c>
      <c r="AY229" s="21">
        <v>0.151</v>
      </c>
      <c r="AZ229">
        <v>270</v>
      </c>
      <c r="BA229" s="21">
        <v>0.155</v>
      </c>
    </row>
    <row r="230" spans="1:53" x14ac:dyDescent="0.25">
      <c r="A230" s="1" t="s">
        <v>453</v>
      </c>
      <c r="B230">
        <v>229</v>
      </c>
      <c r="C230">
        <v>-3.6</v>
      </c>
      <c r="D230">
        <v>262</v>
      </c>
      <c r="E230">
        <v>-4.5</v>
      </c>
      <c r="F230">
        <v>264</v>
      </c>
      <c r="G230">
        <v>-4.4000000000000004</v>
      </c>
      <c r="H230">
        <v>288</v>
      </c>
      <c r="I230">
        <v>-5.3</v>
      </c>
      <c r="J230">
        <v>362</v>
      </c>
      <c r="K230">
        <v>-4.5</v>
      </c>
      <c r="L230">
        <v>150</v>
      </c>
      <c r="M230">
        <v>10</v>
      </c>
      <c r="N230">
        <v>312</v>
      </c>
      <c r="O230">
        <v>0.91</v>
      </c>
      <c r="P230">
        <v>138</v>
      </c>
      <c r="Q230">
        <v>1.0660000000000001</v>
      </c>
      <c r="R230">
        <v>348</v>
      </c>
      <c r="S230">
        <v>0.111</v>
      </c>
      <c r="T230">
        <v>160</v>
      </c>
      <c r="U230">
        <v>0.95899999999999996</v>
      </c>
      <c r="V230">
        <v>146</v>
      </c>
      <c r="W230">
        <v>0.95099999999999996</v>
      </c>
      <c r="X230">
        <v>253</v>
      </c>
      <c r="Y230">
        <v>1.0069999999999999</v>
      </c>
      <c r="Z230">
        <v>202</v>
      </c>
      <c r="AA230">
        <v>1.046</v>
      </c>
      <c r="AB230">
        <v>288</v>
      </c>
      <c r="AC230" s="21">
        <v>0.48399999999999999</v>
      </c>
      <c r="AD230" s="21">
        <v>0.46</v>
      </c>
      <c r="AE230">
        <v>326</v>
      </c>
      <c r="AF230">
        <v>202</v>
      </c>
      <c r="AG230" s="21">
        <v>0.51200000000000001</v>
      </c>
      <c r="AH230">
        <v>168</v>
      </c>
      <c r="AI230">
        <v>19.852</v>
      </c>
      <c r="AJ230">
        <v>243</v>
      </c>
      <c r="AK230" s="21">
        <v>0.25800000000000001</v>
      </c>
      <c r="AL230">
        <v>67</v>
      </c>
      <c r="AM230" s="21">
        <v>0.36199999999999999</v>
      </c>
      <c r="AN230">
        <v>211</v>
      </c>
      <c r="AO230" s="21">
        <v>0.33100000000000002</v>
      </c>
      <c r="AP230">
        <v>69</v>
      </c>
      <c r="AQ230" s="21">
        <v>0.318</v>
      </c>
      <c r="AR230">
        <v>91</v>
      </c>
      <c r="AS230" s="21">
        <v>0.31</v>
      </c>
      <c r="AT230">
        <v>122</v>
      </c>
      <c r="AU230" s="21">
        <v>0.73499999999999999</v>
      </c>
      <c r="AV230">
        <v>322</v>
      </c>
      <c r="AW230">
        <v>67.2</v>
      </c>
      <c r="AX230">
        <v>281</v>
      </c>
      <c r="AY230" s="21">
        <v>0.182</v>
      </c>
      <c r="AZ230">
        <v>196</v>
      </c>
      <c r="BA230" s="21">
        <v>0.16400000000000001</v>
      </c>
    </row>
    <row r="231" spans="1:53" x14ac:dyDescent="0.25">
      <c r="A231" s="1" t="s">
        <v>300</v>
      </c>
      <c r="B231">
        <v>230</v>
      </c>
      <c r="C231">
        <v>-3.6</v>
      </c>
      <c r="D231">
        <v>63</v>
      </c>
      <c r="E231">
        <v>11.3</v>
      </c>
      <c r="F231">
        <v>252</v>
      </c>
      <c r="G231">
        <v>-4.0999999999999996</v>
      </c>
      <c r="H231">
        <v>220</v>
      </c>
      <c r="I231">
        <v>-3.4</v>
      </c>
      <c r="J231">
        <v>55</v>
      </c>
      <c r="K231">
        <v>1.9</v>
      </c>
      <c r="L231">
        <v>204</v>
      </c>
      <c r="M231">
        <v>10.5</v>
      </c>
      <c r="N231">
        <v>107</v>
      </c>
      <c r="O231">
        <v>1.25</v>
      </c>
      <c r="P231">
        <v>174</v>
      </c>
      <c r="Q231">
        <v>1.121</v>
      </c>
      <c r="R231">
        <v>14</v>
      </c>
      <c r="S231">
        <v>0.8</v>
      </c>
      <c r="T231">
        <v>157</v>
      </c>
      <c r="U231">
        <v>0.96</v>
      </c>
      <c r="V231">
        <v>215</v>
      </c>
      <c r="W231">
        <v>0.96299999999999997</v>
      </c>
      <c r="X231">
        <v>138</v>
      </c>
      <c r="Y231">
        <v>1.054</v>
      </c>
      <c r="Z231">
        <v>234</v>
      </c>
      <c r="AA231">
        <v>1.0569999999999999</v>
      </c>
      <c r="AB231">
        <v>103</v>
      </c>
      <c r="AC231" s="21">
        <v>0.52300000000000002</v>
      </c>
      <c r="AD231" s="21">
        <v>0.50900000000000001</v>
      </c>
      <c r="AE231">
        <v>103</v>
      </c>
      <c r="AF231">
        <v>230</v>
      </c>
      <c r="AG231" s="21">
        <v>0.51700000000000002</v>
      </c>
      <c r="AH231">
        <v>204</v>
      </c>
      <c r="AI231">
        <v>19.181999999999999</v>
      </c>
      <c r="AJ231">
        <v>167</v>
      </c>
      <c r="AK231" s="21">
        <v>0.24</v>
      </c>
      <c r="AL231">
        <v>70</v>
      </c>
      <c r="AM231" s="21">
        <v>0.35899999999999999</v>
      </c>
      <c r="AN231">
        <v>132</v>
      </c>
      <c r="AO231" s="21">
        <v>0.34599999999999997</v>
      </c>
      <c r="AP231">
        <v>245</v>
      </c>
      <c r="AQ231" s="21">
        <v>0.34799999999999998</v>
      </c>
      <c r="AR231">
        <v>115</v>
      </c>
      <c r="AS231" s="21">
        <v>0.29899999999999999</v>
      </c>
      <c r="AT231">
        <v>132</v>
      </c>
      <c r="AU231" s="21">
        <v>0.73299999999999998</v>
      </c>
      <c r="AV231">
        <v>94</v>
      </c>
      <c r="AW231">
        <v>71.8</v>
      </c>
      <c r="AX231">
        <v>241</v>
      </c>
      <c r="AY231" s="21">
        <v>0.17599999999999999</v>
      </c>
      <c r="AZ231">
        <v>259</v>
      </c>
      <c r="BA231" s="21">
        <v>0.156</v>
      </c>
    </row>
    <row r="232" spans="1:53" x14ac:dyDescent="0.25">
      <c r="A232" s="1" t="s">
        <v>30</v>
      </c>
      <c r="B232">
        <v>231</v>
      </c>
      <c r="C232">
        <v>-3.7</v>
      </c>
      <c r="D232">
        <v>101</v>
      </c>
      <c r="E232">
        <v>6.3</v>
      </c>
      <c r="F232">
        <v>196</v>
      </c>
      <c r="G232">
        <v>-2.8</v>
      </c>
      <c r="H232">
        <v>227</v>
      </c>
      <c r="I232">
        <v>-3.6</v>
      </c>
      <c r="J232">
        <v>245</v>
      </c>
      <c r="K232">
        <v>-0.9</v>
      </c>
      <c r="L232">
        <v>171</v>
      </c>
      <c r="M232">
        <v>10.199999999999999</v>
      </c>
      <c r="N232">
        <v>143</v>
      </c>
      <c r="O232">
        <v>1.1950000000000001</v>
      </c>
      <c r="P232">
        <v>211</v>
      </c>
      <c r="Q232">
        <v>1.173</v>
      </c>
      <c r="R232">
        <v>304</v>
      </c>
      <c r="S232">
        <v>0.3</v>
      </c>
      <c r="T232">
        <v>325</v>
      </c>
      <c r="U232">
        <v>0.92</v>
      </c>
      <c r="V232">
        <v>317</v>
      </c>
      <c r="W232">
        <v>0.98199999999999998</v>
      </c>
      <c r="X232">
        <v>101</v>
      </c>
      <c r="Y232">
        <v>1.07</v>
      </c>
      <c r="Z232">
        <v>321</v>
      </c>
      <c r="AA232">
        <v>1.0980000000000001</v>
      </c>
      <c r="AB232">
        <v>36</v>
      </c>
      <c r="AC232" s="21">
        <v>0.55100000000000005</v>
      </c>
      <c r="AD232" s="21">
        <v>0.54200000000000004</v>
      </c>
      <c r="AE232">
        <v>31</v>
      </c>
      <c r="AF232">
        <v>248</v>
      </c>
      <c r="AG232" s="21">
        <v>0.52200000000000002</v>
      </c>
      <c r="AH232">
        <v>235</v>
      </c>
      <c r="AI232">
        <v>18.699000000000002</v>
      </c>
      <c r="AJ232">
        <v>200</v>
      </c>
      <c r="AK232" s="21">
        <v>0.247</v>
      </c>
      <c r="AL232">
        <v>110</v>
      </c>
      <c r="AM232" s="21">
        <v>0.33800000000000002</v>
      </c>
      <c r="AN232">
        <v>21</v>
      </c>
      <c r="AO232" s="21">
        <v>0.377</v>
      </c>
      <c r="AP232">
        <v>274</v>
      </c>
      <c r="AQ232" s="21">
        <v>0.35299999999999998</v>
      </c>
      <c r="AR232">
        <v>349</v>
      </c>
      <c r="AS232" s="21">
        <v>0.19800000000000001</v>
      </c>
      <c r="AT232">
        <v>307</v>
      </c>
      <c r="AU232" s="21">
        <v>0.69299999999999995</v>
      </c>
      <c r="AV232">
        <v>100</v>
      </c>
      <c r="AW232">
        <v>71.7</v>
      </c>
      <c r="AX232">
        <v>142</v>
      </c>
      <c r="AY232" s="21">
        <v>0.16200000000000001</v>
      </c>
      <c r="AZ232">
        <v>289</v>
      </c>
      <c r="BA232" s="21">
        <v>0.152</v>
      </c>
    </row>
    <row r="233" spans="1:53" x14ac:dyDescent="0.25">
      <c r="A233" s="1" t="s">
        <v>206</v>
      </c>
      <c r="B233">
        <v>232</v>
      </c>
      <c r="C233">
        <v>-3.7</v>
      </c>
      <c r="D233">
        <v>130</v>
      </c>
      <c r="E233">
        <v>3.1</v>
      </c>
      <c r="F233">
        <v>146</v>
      </c>
      <c r="G233">
        <v>-0.9</v>
      </c>
      <c r="H233">
        <v>262</v>
      </c>
      <c r="I233">
        <v>-4.4000000000000004</v>
      </c>
      <c r="J233">
        <v>242</v>
      </c>
      <c r="K233">
        <v>-0.8</v>
      </c>
      <c r="L233">
        <v>356</v>
      </c>
      <c r="M233">
        <v>13</v>
      </c>
      <c r="N233">
        <v>53</v>
      </c>
      <c r="O233">
        <v>1.381</v>
      </c>
      <c r="P233">
        <v>319</v>
      </c>
      <c r="Q233">
        <v>1.387</v>
      </c>
      <c r="R233">
        <v>158</v>
      </c>
      <c r="S233">
        <v>0.5</v>
      </c>
      <c r="T233">
        <v>179</v>
      </c>
      <c r="U233">
        <v>0.95599999999999996</v>
      </c>
      <c r="V233">
        <v>298</v>
      </c>
      <c r="W233">
        <v>0.97599999999999998</v>
      </c>
      <c r="X233">
        <v>239</v>
      </c>
      <c r="Y233">
        <v>1.012</v>
      </c>
      <c r="Z233">
        <v>302</v>
      </c>
      <c r="AA233">
        <v>1.087</v>
      </c>
      <c r="AB233">
        <v>246</v>
      </c>
      <c r="AC233" s="21">
        <v>0.496</v>
      </c>
      <c r="AD233" s="21">
        <v>0.498</v>
      </c>
      <c r="AE233">
        <v>162</v>
      </c>
      <c r="AF233">
        <v>262</v>
      </c>
      <c r="AG233" s="21">
        <v>0.52500000000000002</v>
      </c>
      <c r="AH233">
        <v>229</v>
      </c>
      <c r="AI233">
        <v>18.774000000000001</v>
      </c>
      <c r="AJ233">
        <v>52</v>
      </c>
      <c r="AK233" s="21">
        <v>0.21</v>
      </c>
      <c r="AL233">
        <v>246</v>
      </c>
      <c r="AM233" s="21">
        <v>0.28999999999999998</v>
      </c>
      <c r="AN233">
        <v>173</v>
      </c>
      <c r="AO233" s="21">
        <v>0.34</v>
      </c>
      <c r="AP233">
        <v>207</v>
      </c>
      <c r="AQ233" s="21">
        <v>0.34200000000000003</v>
      </c>
      <c r="AR233">
        <v>251</v>
      </c>
      <c r="AS233" s="21">
        <v>0.252</v>
      </c>
      <c r="AT233">
        <v>195</v>
      </c>
      <c r="AU233" s="21">
        <v>0.72099999999999997</v>
      </c>
      <c r="AV233">
        <v>136</v>
      </c>
      <c r="AW233">
        <v>71</v>
      </c>
      <c r="AX233">
        <v>103</v>
      </c>
      <c r="AY233" s="21">
        <v>0.157</v>
      </c>
      <c r="AZ233">
        <v>307</v>
      </c>
      <c r="BA233" s="21">
        <v>0.14899999999999999</v>
      </c>
    </row>
    <row r="234" spans="1:53" x14ac:dyDescent="0.25">
      <c r="A234" s="1" t="s">
        <v>150</v>
      </c>
      <c r="B234">
        <v>233</v>
      </c>
      <c r="C234">
        <v>-3.7</v>
      </c>
      <c r="D234">
        <v>175</v>
      </c>
      <c r="E234" t="s">
        <v>5</v>
      </c>
      <c r="F234">
        <v>226</v>
      </c>
      <c r="G234">
        <v>-3.5</v>
      </c>
      <c r="H234">
        <v>187</v>
      </c>
      <c r="I234">
        <v>-2.5</v>
      </c>
      <c r="J234">
        <v>128</v>
      </c>
      <c r="K234">
        <v>0.8</v>
      </c>
      <c r="L234">
        <v>67</v>
      </c>
      <c r="M234">
        <v>9.1999999999999993</v>
      </c>
      <c r="N234">
        <v>158</v>
      </c>
      <c r="O234">
        <v>1.1679999999999999</v>
      </c>
      <c r="P234">
        <v>116</v>
      </c>
      <c r="Q234">
        <v>1.0289999999999999</v>
      </c>
      <c r="R234">
        <v>130</v>
      </c>
      <c r="S234">
        <v>0.55600000000000005</v>
      </c>
      <c r="T234">
        <v>108</v>
      </c>
      <c r="U234">
        <v>0.96899999999999997</v>
      </c>
      <c r="V234">
        <v>76</v>
      </c>
      <c r="W234">
        <v>0.93700000000000006</v>
      </c>
      <c r="X234">
        <v>221</v>
      </c>
      <c r="Y234">
        <v>1.018</v>
      </c>
      <c r="Z234">
        <v>189</v>
      </c>
      <c r="AA234">
        <v>1.042</v>
      </c>
      <c r="AB234">
        <v>233</v>
      </c>
      <c r="AC234" s="21">
        <v>0.498</v>
      </c>
      <c r="AD234" s="21">
        <v>0.47399999999999998</v>
      </c>
      <c r="AE234">
        <v>277</v>
      </c>
      <c r="AF234">
        <v>263</v>
      </c>
      <c r="AG234" s="21">
        <v>0.52500000000000002</v>
      </c>
      <c r="AH234">
        <v>280</v>
      </c>
      <c r="AI234">
        <v>17.73</v>
      </c>
      <c r="AJ234">
        <v>62</v>
      </c>
      <c r="AK234" s="21">
        <v>0.21299999999999999</v>
      </c>
      <c r="AL234">
        <v>142</v>
      </c>
      <c r="AM234" s="21">
        <v>0.32800000000000001</v>
      </c>
      <c r="AN234">
        <v>231</v>
      </c>
      <c r="AO234" s="21">
        <v>0.32700000000000001</v>
      </c>
      <c r="AP234">
        <v>339</v>
      </c>
      <c r="AQ234" s="21">
        <v>0.37</v>
      </c>
      <c r="AR234">
        <v>122</v>
      </c>
      <c r="AS234" s="21">
        <v>0.29599999999999999</v>
      </c>
      <c r="AT234">
        <v>309</v>
      </c>
      <c r="AU234" s="21">
        <v>0.69199999999999995</v>
      </c>
      <c r="AV234">
        <v>221</v>
      </c>
      <c r="AW234">
        <v>69.3</v>
      </c>
      <c r="AX234">
        <v>190</v>
      </c>
      <c r="AY234" s="21">
        <v>0.16900000000000001</v>
      </c>
      <c r="AZ234">
        <v>48</v>
      </c>
      <c r="BA234" s="21">
        <v>0.19500000000000001</v>
      </c>
    </row>
    <row r="235" spans="1:53" x14ac:dyDescent="0.25">
      <c r="A235" s="1" t="s">
        <v>252</v>
      </c>
      <c r="B235">
        <v>234</v>
      </c>
      <c r="C235">
        <v>-3.8</v>
      </c>
      <c r="D235">
        <v>214</v>
      </c>
      <c r="E235">
        <v>-1.1000000000000001</v>
      </c>
      <c r="F235">
        <v>220</v>
      </c>
      <c r="G235">
        <v>-3.2</v>
      </c>
      <c r="H235">
        <v>258</v>
      </c>
      <c r="I235">
        <v>-4.4000000000000004</v>
      </c>
      <c r="J235">
        <v>100</v>
      </c>
      <c r="K235">
        <v>1.1000000000000001</v>
      </c>
      <c r="L235">
        <v>197</v>
      </c>
      <c r="M235">
        <v>10.4</v>
      </c>
      <c r="N235">
        <v>270</v>
      </c>
      <c r="O235">
        <v>0.99099999999999999</v>
      </c>
      <c r="P235">
        <v>117</v>
      </c>
      <c r="Q235">
        <v>1.0289999999999999</v>
      </c>
      <c r="R235">
        <v>158</v>
      </c>
      <c r="S235">
        <v>0.5</v>
      </c>
      <c r="T235">
        <v>23</v>
      </c>
      <c r="U235">
        <v>1.0029999999999999</v>
      </c>
      <c r="V235">
        <v>42</v>
      </c>
      <c r="W235">
        <v>0.92600000000000005</v>
      </c>
      <c r="X235">
        <v>205</v>
      </c>
      <c r="Y235">
        <v>1.0249999999999999</v>
      </c>
      <c r="Z235">
        <v>193</v>
      </c>
      <c r="AA235">
        <v>1.0429999999999999</v>
      </c>
      <c r="AB235">
        <v>316</v>
      </c>
      <c r="AC235" s="21">
        <v>0.47499999999999998</v>
      </c>
      <c r="AD235" s="21">
        <v>0.46100000000000002</v>
      </c>
      <c r="AE235">
        <v>320</v>
      </c>
      <c r="AF235">
        <v>269</v>
      </c>
      <c r="AG235" s="21">
        <v>0.52600000000000002</v>
      </c>
      <c r="AH235">
        <v>219</v>
      </c>
      <c r="AI235">
        <v>18.863</v>
      </c>
      <c r="AJ235">
        <v>352</v>
      </c>
      <c r="AK235" s="21">
        <v>0.3</v>
      </c>
      <c r="AL235">
        <v>201</v>
      </c>
      <c r="AM235" s="21">
        <v>0.30599999999999999</v>
      </c>
      <c r="AN235">
        <v>249</v>
      </c>
      <c r="AO235" s="21">
        <v>0.32400000000000001</v>
      </c>
      <c r="AP235">
        <v>206</v>
      </c>
      <c r="AQ235" s="21">
        <v>0.34200000000000003</v>
      </c>
      <c r="AR235">
        <v>59</v>
      </c>
      <c r="AS235" s="21">
        <v>0.32300000000000001</v>
      </c>
      <c r="AT235">
        <v>120</v>
      </c>
      <c r="AU235" s="21">
        <v>0.73499999999999999</v>
      </c>
      <c r="AV235">
        <v>292</v>
      </c>
      <c r="AW235">
        <v>67.900000000000006</v>
      </c>
      <c r="AX235">
        <v>92</v>
      </c>
      <c r="AY235" s="21">
        <v>0.156</v>
      </c>
      <c r="AZ235">
        <v>82</v>
      </c>
      <c r="BA235" s="21">
        <v>0.184</v>
      </c>
    </row>
    <row r="236" spans="1:53" x14ac:dyDescent="0.25">
      <c r="A236" s="1" t="s">
        <v>18</v>
      </c>
      <c r="B236">
        <v>235</v>
      </c>
      <c r="C236">
        <v>-3.8</v>
      </c>
      <c r="D236">
        <v>264</v>
      </c>
      <c r="E236">
        <v>-4.7</v>
      </c>
      <c r="F236">
        <v>149</v>
      </c>
      <c r="G236">
        <v>-1</v>
      </c>
      <c r="H236">
        <v>222</v>
      </c>
      <c r="I236">
        <v>-3.5</v>
      </c>
      <c r="J236">
        <v>357</v>
      </c>
      <c r="K236">
        <v>-3.6</v>
      </c>
      <c r="L236">
        <v>180</v>
      </c>
      <c r="M236">
        <v>10.3</v>
      </c>
      <c r="N236">
        <v>328</v>
      </c>
      <c r="O236">
        <v>0.876</v>
      </c>
      <c r="P236">
        <v>158</v>
      </c>
      <c r="Q236">
        <v>1.0920000000000001</v>
      </c>
      <c r="R236">
        <v>338</v>
      </c>
      <c r="S236">
        <v>0.2</v>
      </c>
      <c r="T236">
        <v>314</v>
      </c>
      <c r="U236">
        <v>0.92700000000000005</v>
      </c>
      <c r="V236">
        <v>27</v>
      </c>
      <c r="W236">
        <v>0.91900000000000004</v>
      </c>
      <c r="X236">
        <v>281</v>
      </c>
      <c r="Y236">
        <v>0.99299999999999999</v>
      </c>
      <c r="Z236">
        <v>236</v>
      </c>
      <c r="AA236">
        <v>1.0589999999999999</v>
      </c>
      <c r="AB236">
        <v>168</v>
      </c>
      <c r="AC236" s="21">
        <v>0.50900000000000001</v>
      </c>
      <c r="AD236" s="21">
        <v>0.48799999999999999</v>
      </c>
      <c r="AE236">
        <v>216</v>
      </c>
      <c r="AF236">
        <v>336</v>
      </c>
      <c r="AG236" s="21">
        <v>0.54700000000000004</v>
      </c>
      <c r="AH236">
        <v>271</v>
      </c>
      <c r="AI236">
        <v>17.905999999999999</v>
      </c>
      <c r="AJ236">
        <v>295</v>
      </c>
      <c r="AK236" s="21">
        <v>0.27</v>
      </c>
      <c r="AL236">
        <v>159</v>
      </c>
      <c r="AM236" s="21">
        <v>0.32200000000000001</v>
      </c>
      <c r="AN236">
        <v>65</v>
      </c>
      <c r="AO236" s="21">
        <v>0.36</v>
      </c>
      <c r="AP236">
        <v>317</v>
      </c>
      <c r="AQ236" s="21">
        <v>0.36099999999999999</v>
      </c>
      <c r="AR236">
        <v>110</v>
      </c>
      <c r="AS236" s="21">
        <v>0.30099999999999999</v>
      </c>
      <c r="AT236">
        <v>89</v>
      </c>
      <c r="AU236" s="21">
        <v>0.74199999999999999</v>
      </c>
      <c r="AV236">
        <v>288</v>
      </c>
      <c r="AW236">
        <v>67.900000000000006</v>
      </c>
      <c r="AX236">
        <v>345</v>
      </c>
      <c r="AY236" s="21">
        <v>0.20200000000000001</v>
      </c>
      <c r="AZ236">
        <v>69</v>
      </c>
      <c r="BA236" s="21">
        <v>0.186</v>
      </c>
    </row>
    <row r="237" spans="1:53" x14ac:dyDescent="0.25">
      <c r="A237" s="1" t="s">
        <v>229</v>
      </c>
      <c r="B237">
        <v>236</v>
      </c>
      <c r="C237">
        <v>-3.9</v>
      </c>
      <c r="D237">
        <v>104</v>
      </c>
      <c r="E237">
        <v>5.8</v>
      </c>
      <c r="F237">
        <v>338</v>
      </c>
      <c r="G237">
        <v>-7.4</v>
      </c>
      <c r="H237">
        <v>321</v>
      </c>
      <c r="I237">
        <v>-7</v>
      </c>
      <c r="J237">
        <v>88</v>
      </c>
      <c r="K237">
        <v>1.3</v>
      </c>
      <c r="L237">
        <v>244</v>
      </c>
      <c r="M237">
        <v>10.8</v>
      </c>
      <c r="N237">
        <v>189</v>
      </c>
      <c r="O237">
        <v>1.115</v>
      </c>
      <c r="P237">
        <v>78</v>
      </c>
      <c r="Q237">
        <v>0.98599999999999999</v>
      </c>
      <c r="R237">
        <v>223</v>
      </c>
      <c r="S237">
        <v>0.44400000000000001</v>
      </c>
      <c r="T237">
        <v>95</v>
      </c>
      <c r="U237">
        <v>0.97099999999999997</v>
      </c>
      <c r="V237">
        <v>175</v>
      </c>
      <c r="W237">
        <v>0.95599999999999996</v>
      </c>
      <c r="X237">
        <v>237</v>
      </c>
      <c r="Y237">
        <v>1.0129999999999999</v>
      </c>
      <c r="Z237">
        <v>39</v>
      </c>
      <c r="AA237">
        <v>0.97499999999999998</v>
      </c>
      <c r="AB237">
        <v>270</v>
      </c>
      <c r="AC237" s="21">
        <v>0.48899999999999999</v>
      </c>
      <c r="AD237" s="21">
        <v>0.48399999999999999</v>
      </c>
      <c r="AE237">
        <v>241</v>
      </c>
      <c r="AF237">
        <v>37</v>
      </c>
      <c r="AG237" s="21">
        <v>0.47499999999999998</v>
      </c>
      <c r="AH237">
        <v>213</v>
      </c>
      <c r="AI237">
        <v>18.885000000000002</v>
      </c>
      <c r="AJ237">
        <v>182</v>
      </c>
      <c r="AK237" s="21">
        <v>0.24399999999999999</v>
      </c>
      <c r="AL237">
        <v>197</v>
      </c>
      <c r="AM237" s="21">
        <v>0.307</v>
      </c>
      <c r="AN237">
        <v>167</v>
      </c>
      <c r="AO237" s="21">
        <v>0.34</v>
      </c>
      <c r="AP237">
        <v>123</v>
      </c>
      <c r="AQ237" s="21">
        <v>0.33</v>
      </c>
      <c r="AR237">
        <v>137</v>
      </c>
      <c r="AS237" s="21">
        <v>0.28999999999999998</v>
      </c>
      <c r="AT237">
        <v>109</v>
      </c>
      <c r="AU237" s="21">
        <v>0.73699999999999999</v>
      </c>
      <c r="AV237">
        <v>208</v>
      </c>
      <c r="AW237">
        <v>69.7</v>
      </c>
      <c r="AX237">
        <v>170</v>
      </c>
      <c r="AY237" s="21">
        <v>0.16600000000000001</v>
      </c>
      <c r="AZ237">
        <v>178</v>
      </c>
      <c r="BA237" s="21">
        <v>0.16700000000000001</v>
      </c>
    </row>
    <row r="238" spans="1:53" x14ac:dyDescent="0.25">
      <c r="A238" s="1" t="s">
        <v>573</v>
      </c>
      <c r="B238">
        <v>237</v>
      </c>
      <c r="C238">
        <v>-3.9</v>
      </c>
      <c r="D238">
        <v>181</v>
      </c>
      <c r="E238" t="s">
        <v>5</v>
      </c>
      <c r="F238">
        <v>210</v>
      </c>
      <c r="G238">
        <v>-3.1</v>
      </c>
      <c r="H238">
        <v>275</v>
      </c>
      <c r="I238">
        <v>-5</v>
      </c>
      <c r="J238">
        <v>149</v>
      </c>
      <c r="K238">
        <v>0.5</v>
      </c>
      <c r="L238">
        <v>114</v>
      </c>
      <c r="M238">
        <v>9.6999999999999993</v>
      </c>
      <c r="N238">
        <v>338</v>
      </c>
      <c r="O238">
        <v>0.84199999999999997</v>
      </c>
      <c r="P238">
        <v>227</v>
      </c>
      <c r="Q238">
        <v>1.1950000000000001</v>
      </c>
      <c r="R238">
        <v>158</v>
      </c>
      <c r="S238">
        <v>0.5</v>
      </c>
      <c r="T238">
        <v>336</v>
      </c>
      <c r="U238">
        <v>0.91500000000000004</v>
      </c>
      <c r="V238">
        <v>305</v>
      </c>
      <c r="W238">
        <v>0.97899999999999998</v>
      </c>
      <c r="X238">
        <v>251</v>
      </c>
      <c r="Y238">
        <v>1.008</v>
      </c>
      <c r="Z238">
        <v>196</v>
      </c>
      <c r="AA238">
        <v>1.0449999999999999</v>
      </c>
      <c r="AB238">
        <v>190</v>
      </c>
      <c r="AC238" s="21">
        <v>0.50600000000000001</v>
      </c>
      <c r="AD238" s="21">
        <v>0.497</v>
      </c>
      <c r="AE238">
        <v>168</v>
      </c>
      <c r="AF238">
        <v>109</v>
      </c>
      <c r="AG238" s="21">
        <v>0.495</v>
      </c>
      <c r="AH238">
        <v>42</v>
      </c>
      <c r="AI238">
        <v>22.86</v>
      </c>
      <c r="AJ238">
        <v>237</v>
      </c>
      <c r="AK238" s="21">
        <v>0.25700000000000001</v>
      </c>
      <c r="AL238">
        <v>312</v>
      </c>
      <c r="AM238" s="21">
        <v>0.26600000000000001</v>
      </c>
      <c r="AN238">
        <v>323</v>
      </c>
      <c r="AO238" s="21">
        <v>0.31</v>
      </c>
      <c r="AP238">
        <v>256</v>
      </c>
      <c r="AQ238" s="21">
        <v>0.35</v>
      </c>
      <c r="AR238">
        <v>154</v>
      </c>
      <c r="AS238" s="21">
        <v>0.28499999999999998</v>
      </c>
      <c r="AT238">
        <v>26</v>
      </c>
      <c r="AU238" s="21">
        <v>0.76500000000000001</v>
      </c>
      <c r="AV238">
        <v>250</v>
      </c>
      <c r="AW238">
        <v>68.8</v>
      </c>
      <c r="AX238">
        <v>346</v>
      </c>
      <c r="AY238" s="21">
        <v>0.20300000000000001</v>
      </c>
      <c r="AZ238">
        <v>355</v>
      </c>
      <c r="BA238" s="21">
        <v>0.128</v>
      </c>
    </row>
    <row r="239" spans="1:53" x14ac:dyDescent="0.25">
      <c r="A239" s="1" t="s">
        <v>44</v>
      </c>
      <c r="B239">
        <v>238</v>
      </c>
      <c r="C239">
        <v>-3.9</v>
      </c>
      <c r="D239">
        <v>152</v>
      </c>
      <c r="E239">
        <v>1.3</v>
      </c>
      <c r="F239">
        <v>153</v>
      </c>
      <c r="G239">
        <v>-1.1000000000000001</v>
      </c>
      <c r="H239">
        <v>252</v>
      </c>
      <c r="I239">
        <v>-4.2</v>
      </c>
      <c r="J239">
        <v>315</v>
      </c>
      <c r="K239">
        <v>-2</v>
      </c>
      <c r="L239">
        <v>32</v>
      </c>
      <c r="M239">
        <v>8.5</v>
      </c>
      <c r="N239">
        <v>149</v>
      </c>
      <c r="O239">
        <v>1.1830000000000001</v>
      </c>
      <c r="P239">
        <v>287</v>
      </c>
      <c r="Q239">
        <v>1.288</v>
      </c>
      <c r="R239">
        <v>271</v>
      </c>
      <c r="S239">
        <v>0.36399999999999999</v>
      </c>
      <c r="T239">
        <v>181</v>
      </c>
      <c r="U239">
        <v>0.95599999999999996</v>
      </c>
      <c r="V239">
        <v>279</v>
      </c>
      <c r="W239">
        <v>0.97199999999999998</v>
      </c>
      <c r="X239">
        <v>190</v>
      </c>
      <c r="Y239">
        <v>1.03</v>
      </c>
      <c r="Z239">
        <v>327</v>
      </c>
      <c r="AA239">
        <v>1.101</v>
      </c>
      <c r="AB239">
        <v>292</v>
      </c>
      <c r="AC239" s="21">
        <v>0.48299999999999998</v>
      </c>
      <c r="AD239" s="21">
        <v>0.48199999999999998</v>
      </c>
      <c r="AE239">
        <v>251</v>
      </c>
      <c r="AF239">
        <v>322</v>
      </c>
      <c r="AG239" s="21">
        <v>0.54200000000000004</v>
      </c>
      <c r="AH239">
        <v>5</v>
      </c>
      <c r="AI239">
        <v>25.692</v>
      </c>
      <c r="AJ239">
        <v>302</v>
      </c>
      <c r="AK239" s="21">
        <v>0.27200000000000002</v>
      </c>
      <c r="AL239">
        <v>232</v>
      </c>
      <c r="AM239" s="21">
        <v>0.29499999999999998</v>
      </c>
      <c r="AN239">
        <v>321</v>
      </c>
      <c r="AO239" s="21">
        <v>0.31</v>
      </c>
      <c r="AP239">
        <v>147</v>
      </c>
      <c r="AQ239" s="21">
        <v>0.33300000000000002</v>
      </c>
      <c r="AR239">
        <v>318</v>
      </c>
      <c r="AS239" s="21">
        <v>0.22700000000000001</v>
      </c>
      <c r="AT239">
        <v>189</v>
      </c>
      <c r="AU239" s="21">
        <v>0.72299999999999998</v>
      </c>
      <c r="AV239">
        <v>282</v>
      </c>
      <c r="AW239">
        <v>68.099999999999994</v>
      </c>
      <c r="AX239">
        <v>43</v>
      </c>
      <c r="AY239" s="21">
        <v>0.14799999999999999</v>
      </c>
      <c r="AZ239">
        <v>330</v>
      </c>
      <c r="BA239" s="21">
        <v>0.14299999999999999</v>
      </c>
    </row>
    <row r="240" spans="1:53" x14ac:dyDescent="0.25">
      <c r="A240" s="1" t="s">
        <v>244</v>
      </c>
      <c r="B240">
        <v>239</v>
      </c>
      <c r="C240">
        <v>-4.2</v>
      </c>
      <c r="D240">
        <v>102</v>
      </c>
      <c r="E240">
        <v>6.3</v>
      </c>
      <c r="F240">
        <v>234</v>
      </c>
      <c r="G240">
        <v>-3.7</v>
      </c>
      <c r="H240">
        <v>260</v>
      </c>
      <c r="I240">
        <v>-4.4000000000000004</v>
      </c>
      <c r="J240">
        <v>277</v>
      </c>
      <c r="K240">
        <v>-1.4</v>
      </c>
      <c r="L240">
        <v>154</v>
      </c>
      <c r="M240">
        <v>10.1</v>
      </c>
      <c r="N240">
        <v>176</v>
      </c>
      <c r="O240">
        <v>1.1339999999999999</v>
      </c>
      <c r="P240">
        <v>109</v>
      </c>
      <c r="Q240">
        <v>1.012</v>
      </c>
      <c r="R240">
        <v>279</v>
      </c>
      <c r="S240">
        <v>0.33300000000000002</v>
      </c>
      <c r="T240">
        <v>118</v>
      </c>
      <c r="U240">
        <v>0.96699999999999997</v>
      </c>
      <c r="V240">
        <v>154</v>
      </c>
      <c r="W240">
        <v>0.95299999999999996</v>
      </c>
      <c r="X240">
        <v>166</v>
      </c>
      <c r="Y240">
        <v>1.04</v>
      </c>
      <c r="Z240">
        <v>271</v>
      </c>
      <c r="AA240">
        <v>1.0720000000000001</v>
      </c>
      <c r="AB240">
        <v>149</v>
      </c>
      <c r="AC240" s="21">
        <v>0.51200000000000001</v>
      </c>
      <c r="AD240" s="21">
        <v>0.498</v>
      </c>
      <c r="AE240">
        <v>162</v>
      </c>
      <c r="AF240">
        <v>267</v>
      </c>
      <c r="AG240" s="21">
        <v>0.52600000000000002</v>
      </c>
      <c r="AH240">
        <v>272</v>
      </c>
      <c r="AI240">
        <v>17.893000000000001</v>
      </c>
      <c r="AJ240">
        <v>315</v>
      </c>
      <c r="AK240" s="21">
        <v>0.28000000000000003</v>
      </c>
      <c r="AL240">
        <v>224</v>
      </c>
      <c r="AM240" s="21">
        <v>0.29899999999999999</v>
      </c>
      <c r="AN240">
        <v>63</v>
      </c>
      <c r="AO240" s="21">
        <v>0.36</v>
      </c>
      <c r="AP240">
        <v>221</v>
      </c>
      <c r="AQ240" s="21">
        <v>0.34399999999999997</v>
      </c>
      <c r="AR240">
        <v>196</v>
      </c>
      <c r="AS240" s="21">
        <v>0.27600000000000002</v>
      </c>
      <c r="AT240">
        <v>249</v>
      </c>
      <c r="AU240" s="21">
        <v>0.71</v>
      </c>
      <c r="AV240">
        <v>293</v>
      </c>
      <c r="AW240">
        <v>67.8</v>
      </c>
      <c r="AX240">
        <v>124</v>
      </c>
      <c r="AY240" s="21">
        <v>0.159</v>
      </c>
      <c r="AZ240">
        <v>138</v>
      </c>
      <c r="BA240" s="21">
        <v>0.17299999999999999</v>
      </c>
    </row>
    <row r="241" spans="1:53" x14ac:dyDescent="0.25">
      <c r="A241" s="1" t="s">
        <v>10</v>
      </c>
      <c r="B241">
        <v>240</v>
      </c>
      <c r="C241">
        <v>-4.3</v>
      </c>
      <c r="D241">
        <v>329</v>
      </c>
      <c r="E241">
        <v>-13.9</v>
      </c>
      <c r="F241">
        <v>254</v>
      </c>
      <c r="G241">
        <v>-4.3</v>
      </c>
      <c r="H241">
        <v>120</v>
      </c>
      <c r="I241">
        <v>-0.5</v>
      </c>
      <c r="J241">
        <v>329</v>
      </c>
      <c r="K241">
        <v>-2.4</v>
      </c>
      <c r="L241">
        <v>360</v>
      </c>
      <c r="M241">
        <v>13.6</v>
      </c>
      <c r="N241">
        <v>112</v>
      </c>
      <c r="O241">
        <v>1.242</v>
      </c>
      <c r="P241">
        <v>296</v>
      </c>
      <c r="Q241">
        <v>1.3169999999999999</v>
      </c>
      <c r="R241">
        <v>264</v>
      </c>
      <c r="S241">
        <v>0.375</v>
      </c>
      <c r="T241">
        <v>287</v>
      </c>
      <c r="U241">
        <v>0.93200000000000005</v>
      </c>
      <c r="V241">
        <v>143</v>
      </c>
      <c r="W241">
        <v>0.95099999999999996</v>
      </c>
      <c r="X241">
        <v>158</v>
      </c>
      <c r="Y241">
        <v>1.044</v>
      </c>
      <c r="Z241">
        <v>248</v>
      </c>
      <c r="AA241">
        <v>1.0629999999999999</v>
      </c>
      <c r="AB241">
        <v>53</v>
      </c>
      <c r="AC241" s="21">
        <v>0.54200000000000004</v>
      </c>
      <c r="AD241" s="21">
        <v>0.53100000000000003</v>
      </c>
      <c r="AE241">
        <v>46</v>
      </c>
      <c r="AF241">
        <v>295</v>
      </c>
      <c r="AG241" s="21">
        <v>0.53300000000000003</v>
      </c>
      <c r="AH241">
        <v>362</v>
      </c>
      <c r="AI241">
        <v>13.8</v>
      </c>
      <c r="AJ241">
        <v>23</v>
      </c>
      <c r="AK241" s="21">
        <v>0.19600000000000001</v>
      </c>
      <c r="AL241">
        <v>66</v>
      </c>
      <c r="AM241" s="21">
        <v>0.36299999999999999</v>
      </c>
      <c r="AN241">
        <v>72</v>
      </c>
      <c r="AO241" s="21">
        <v>0.35699999999999998</v>
      </c>
      <c r="AP241">
        <v>346</v>
      </c>
      <c r="AQ241" s="21">
        <v>0.373</v>
      </c>
      <c r="AR241">
        <v>326</v>
      </c>
      <c r="AS241" s="21">
        <v>0.221</v>
      </c>
      <c r="AT241">
        <v>62</v>
      </c>
      <c r="AU241" s="21">
        <v>0.749</v>
      </c>
      <c r="AV241">
        <v>269</v>
      </c>
      <c r="AW241">
        <v>68.400000000000006</v>
      </c>
      <c r="AX241">
        <v>161</v>
      </c>
      <c r="AY241" s="21">
        <v>0.16500000000000001</v>
      </c>
      <c r="AZ241">
        <v>235</v>
      </c>
      <c r="BA241" s="21">
        <v>0.16</v>
      </c>
    </row>
    <row r="242" spans="1:53" x14ac:dyDescent="0.25">
      <c r="A242" s="1" t="s">
        <v>142</v>
      </c>
      <c r="B242">
        <v>241</v>
      </c>
      <c r="C242">
        <v>-4.5</v>
      </c>
      <c r="D242">
        <v>275</v>
      </c>
      <c r="E242">
        <v>-5.5</v>
      </c>
      <c r="F242">
        <v>291</v>
      </c>
      <c r="G242">
        <v>-5.4</v>
      </c>
      <c r="H242">
        <v>196</v>
      </c>
      <c r="I242">
        <v>-2.8</v>
      </c>
      <c r="J242">
        <v>7</v>
      </c>
      <c r="K242">
        <v>3.8</v>
      </c>
      <c r="L242">
        <v>226</v>
      </c>
      <c r="M242">
        <v>10.6</v>
      </c>
      <c r="N242">
        <v>170</v>
      </c>
      <c r="O242">
        <v>1.1459999999999999</v>
      </c>
      <c r="P242">
        <v>157</v>
      </c>
      <c r="Q242">
        <v>1.0880000000000001</v>
      </c>
      <c r="R242">
        <v>12</v>
      </c>
      <c r="S242">
        <v>0.81799999999999995</v>
      </c>
      <c r="T242">
        <v>268</v>
      </c>
      <c r="U242">
        <v>0.93600000000000005</v>
      </c>
      <c r="V242">
        <v>91</v>
      </c>
      <c r="W242">
        <v>0.94</v>
      </c>
      <c r="X242">
        <v>186</v>
      </c>
      <c r="Y242">
        <v>1.0309999999999999</v>
      </c>
      <c r="Z242">
        <v>180</v>
      </c>
      <c r="AA242">
        <v>1.038</v>
      </c>
      <c r="AB242">
        <v>120</v>
      </c>
      <c r="AC242" s="21">
        <v>0.51800000000000002</v>
      </c>
      <c r="AD242" s="21">
        <v>0.502</v>
      </c>
      <c r="AE242">
        <v>141</v>
      </c>
      <c r="AF242">
        <v>244</v>
      </c>
      <c r="AG242" s="21">
        <v>0.52100000000000002</v>
      </c>
      <c r="AH242">
        <v>255</v>
      </c>
      <c r="AI242">
        <v>18.286999999999999</v>
      </c>
      <c r="AJ242">
        <v>210</v>
      </c>
      <c r="AK242" s="21">
        <v>0.249</v>
      </c>
      <c r="AL242">
        <v>46</v>
      </c>
      <c r="AM242" s="21">
        <v>0.374</v>
      </c>
      <c r="AN242">
        <v>103</v>
      </c>
      <c r="AO242" s="21">
        <v>0.35099999999999998</v>
      </c>
      <c r="AP242">
        <v>168</v>
      </c>
      <c r="AQ242" s="21">
        <v>0.33600000000000002</v>
      </c>
      <c r="AR242">
        <v>327</v>
      </c>
      <c r="AS242" s="21">
        <v>0.221</v>
      </c>
      <c r="AT242">
        <v>97</v>
      </c>
      <c r="AU242" s="21">
        <v>0.74</v>
      </c>
      <c r="AV242">
        <v>358</v>
      </c>
      <c r="AW242">
        <v>65.599999999999994</v>
      </c>
      <c r="AX242">
        <v>152</v>
      </c>
      <c r="AY242" s="21">
        <v>0.16300000000000001</v>
      </c>
      <c r="AZ242">
        <v>133</v>
      </c>
      <c r="BA242" s="21">
        <v>0.17299999999999999</v>
      </c>
    </row>
    <row r="243" spans="1:53" x14ac:dyDescent="0.25">
      <c r="A243" s="1" t="s">
        <v>181</v>
      </c>
      <c r="B243">
        <v>242</v>
      </c>
      <c r="C243">
        <v>-4.5</v>
      </c>
      <c r="D243">
        <v>325</v>
      </c>
      <c r="E243">
        <v>-13.3</v>
      </c>
      <c r="F243">
        <v>181</v>
      </c>
      <c r="G243">
        <v>-2.6</v>
      </c>
      <c r="H243">
        <v>217</v>
      </c>
      <c r="I243">
        <v>-3.3</v>
      </c>
      <c r="J243">
        <v>82</v>
      </c>
      <c r="K243">
        <v>1.4</v>
      </c>
      <c r="L243">
        <v>329</v>
      </c>
      <c r="M243">
        <v>11.9</v>
      </c>
      <c r="N243">
        <v>354</v>
      </c>
      <c r="O243">
        <v>0.78</v>
      </c>
      <c r="P243">
        <v>26</v>
      </c>
      <c r="Q243">
        <v>0.871</v>
      </c>
      <c r="R243">
        <v>116</v>
      </c>
      <c r="S243">
        <v>0.57099999999999995</v>
      </c>
      <c r="T243">
        <v>319</v>
      </c>
      <c r="U243">
        <v>0.92300000000000004</v>
      </c>
      <c r="V243">
        <v>43</v>
      </c>
      <c r="W243">
        <v>0.92600000000000005</v>
      </c>
      <c r="X243">
        <v>339</v>
      </c>
      <c r="Y243">
        <v>0.94399999999999995</v>
      </c>
      <c r="Z243">
        <v>119</v>
      </c>
      <c r="AA243">
        <v>1.014</v>
      </c>
      <c r="AB243">
        <v>336</v>
      </c>
      <c r="AC243" s="21">
        <v>0.46300000000000002</v>
      </c>
      <c r="AD243" s="21">
        <v>0.46100000000000002</v>
      </c>
      <c r="AE243">
        <v>320</v>
      </c>
      <c r="AF243">
        <v>134</v>
      </c>
      <c r="AG243" s="21">
        <v>0.5</v>
      </c>
      <c r="AH243">
        <v>61</v>
      </c>
      <c r="AI243">
        <v>22.248000000000001</v>
      </c>
      <c r="AJ243">
        <v>290</v>
      </c>
      <c r="AK243" s="21">
        <v>0.26900000000000002</v>
      </c>
      <c r="AL243">
        <v>266</v>
      </c>
      <c r="AM243" s="21">
        <v>0.28399999999999997</v>
      </c>
      <c r="AN243">
        <v>255</v>
      </c>
      <c r="AO243" s="21">
        <v>0.32200000000000001</v>
      </c>
      <c r="AP243">
        <v>270</v>
      </c>
      <c r="AQ243" s="21">
        <v>0.35199999999999998</v>
      </c>
      <c r="AR243">
        <v>235</v>
      </c>
      <c r="AS243" s="21">
        <v>0.25700000000000001</v>
      </c>
      <c r="AT243">
        <v>337</v>
      </c>
      <c r="AU243" s="21">
        <v>0.67800000000000005</v>
      </c>
      <c r="AV243">
        <v>191</v>
      </c>
      <c r="AW243">
        <v>70.099999999999994</v>
      </c>
      <c r="AX243">
        <v>325</v>
      </c>
      <c r="AY243" s="21">
        <v>0.193</v>
      </c>
      <c r="AZ243">
        <v>13</v>
      </c>
      <c r="BA243" s="21">
        <v>0.21299999999999999</v>
      </c>
    </row>
    <row r="244" spans="1:53" x14ac:dyDescent="0.25">
      <c r="A244" s="1" t="s">
        <v>574</v>
      </c>
      <c r="B244">
        <v>243</v>
      </c>
      <c r="C244">
        <v>-4.5</v>
      </c>
      <c r="D244">
        <v>144</v>
      </c>
      <c r="E244">
        <v>2.6</v>
      </c>
      <c r="F244">
        <v>284</v>
      </c>
      <c r="G244">
        <v>-5.2</v>
      </c>
      <c r="H244">
        <v>216</v>
      </c>
      <c r="I244">
        <v>-3.3</v>
      </c>
      <c r="J244">
        <v>5</v>
      </c>
      <c r="K244">
        <v>4.2</v>
      </c>
      <c r="L244">
        <v>74</v>
      </c>
      <c r="M244">
        <v>9.3000000000000007</v>
      </c>
      <c r="N244">
        <v>266</v>
      </c>
      <c r="O244">
        <v>0.996</v>
      </c>
      <c r="P244">
        <v>218</v>
      </c>
      <c r="Q244">
        <v>1.1830000000000001</v>
      </c>
      <c r="R244">
        <v>18</v>
      </c>
      <c r="S244">
        <v>0.77800000000000002</v>
      </c>
      <c r="T244">
        <v>343</v>
      </c>
      <c r="U244">
        <v>0.91100000000000003</v>
      </c>
      <c r="V244">
        <v>299</v>
      </c>
      <c r="W244">
        <v>0.97699999999999998</v>
      </c>
      <c r="X244">
        <v>278</v>
      </c>
      <c r="Y244">
        <v>0.99299999999999999</v>
      </c>
      <c r="Z244">
        <v>88</v>
      </c>
      <c r="AA244">
        <v>1.0009999999999999</v>
      </c>
      <c r="AB244">
        <v>163</v>
      </c>
      <c r="AC244" s="21">
        <v>0.51</v>
      </c>
      <c r="AD244" s="21">
        <v>0.5</v>
      </c>
      <c r="AE244">
        <v>154</v>
      </c>
      <c r="AF244">
        <v>54</v>
      </c>
      <c r="AG244" s="21">
        <v>0.48</v>
      </c>
      <c r="AH244">
        <v>262</v>
      </c>
      <c r="AI244">
        <v>18.056000000000001</v>
      </c>
      <c r="AJ244">
        <v>38</v>
      </c>
      <c r="AK244" s="21">
        <v>0.20300000000000001</v>
      </c>
      <c r="AL244">
        <v>98</v>
      </c>
      <c r="AM244" s="21">
        <v>0.34399999999999997</v>
      </c>
      <c r="AN244">
        <v>122</v>
      </c>
      <c r="AO244" s="21">
        <v>0.34899999999999998</v>
      </c>
      <c r="AP244">
        <v>51</v>
      </c>
      <c r="AQ244" s="21">
        <v>0.314</v>
      </c>
      <c r="AR244">
        <v>142</v>
      </c>
      <c r="AS244" s="21">
        <v>0.28899999999999998</v>
      </c>
      <c r="AT244">
        <v>133</v>
      </c>
      <c r="AU244" s="21">
        <v>0.73199999999999998</v>
      </c>
      <c r="AV244">
        <v>195</v>
      </c>
      <c r="AW244">
        <v>70</v>
      </c>
      <c r="AX244">
        <v>359</v>
      </c>
      <c r="AY244" s="21">
        <v>0.21299999999999999</v>
      </c>
      <c r="AZ244">
        <v>265</v>
      </c>
      <c r="BA244" s="21">
        <v>0.156</v>
      </c>
    </row>
    <row r="245" spans="1:53" x14ac:dyDescent="0.25">
      <c r="A245" s="1" t="s">
        <v>197</v>
      </c>
      <c r="B245">
        <v>244</v>
      </c>
      <c r="C245">
        <v>-4.5999999999999996</v>
      </c>
      <c r="D245">
        <v>271</v>
      </c>
      <c r="E245">
        <v>-5.2</v>
      </c>
      <c r="F245">
        <v>302</v>
      </c>
      <c r="G245">
        <v>-5.9</v>
      </c>
      <c r="H245">
        <v>345</v>
      </c>
      <c r="I245">
        <v>-8.5</v>
      </c>
      <c r="J245">
        <v>195</v>
      </c>
      <c r="K245">
        <v>-0.1</v>
      </c>
      <c r="L245">
        <v>6</v>
      </c>
      <c r="M245">
        <v>7.8</v>
      </c>
      <c r="N245">
        <v>69</v>
      </c>
      <c r="O245">
        <v>1.3340000000000001</v>
      </c>
      <c r="P245">
        <v>298</v>
      </c>
      <c r="Q245">
        <v>1.3220000000000001</v>
      </c>
      <c r="R245">
        <v>158</v>
      </c>
      <c r="S245">
        <v>0.5</v>
      </c>
      <c r="T245">
        <v>47</v>
      </c>
      <c r="U245">
        <v>0.98699999999999999</v>
      </c>
      <c r="V245">
        <v>147</v>
      </c>
      <c r="W245">
        <v>0.95099999999999996</v>
      </c>
      <c r="X245">
        <v>146</v>
      </c>
      <c r="Y245">
        <v>1.052</v>
      </c>
      <c r="Z245">
        <v>244</v>
      </c>
      <c r="AA245">
        <v>1.06</v>
      </c>
      <c r="AB245">
        <v>205</v>
      </c>
      <c r="AC245" s="21">
        <v>0.503</v>
      </c>
      <c r="AD245" s="21">
        <v>0.47699999999999998</v>
      </c>
      <c r="AE245">
        <v>266</v>
      </c>
      <c r="AF245">
        <v>293</v>
      </c>
      <c r="AG245" s="21">
        <v>0.53300000000000003</v>
      </c>
      <c r="AH245">
        <v>300</v>
      </c>
      <c r="AI245">
        <v>17.158999999999999</v>
      </c>
      <c r="AJ245">
        <v>223</v>
      </c>
      <c r="AK245" s="21">
        <v>0.253</v>
      </c>
      <c r="AL245">
        <v>132</v>
      </c>
      <c r="AM245" s="21">
        <v>0.32900000000000001</v>
      </c>
      <c r="AN245">
        <v>143</v>
      </c>
      <c r="AO245" s="21">
        <v>0.34499999999999997</v>
      </c>
      <c r="AP245">
        <v>310</v>
      </c>
      <c r="AQ245" s="21">
        <v>0.36</v>
      </c>
      <c r="AR245">
        <v>136</v>
      </c>
      <c r="AS245" s="21">
        <v>0.29099999999999998</v>
      </c>
      <c r="AT245">
        <v>8</v>
      </c>
      <c r="AU245" s="21">
        <v>0.77700000000000002</v>
      </c>
      <c r="AV245">
        <v>253</v>
      </c>
      <c r="AW245">
        <v>68.7</v>
      </c>
      <c r="AX245">
        <v>51</v>
      </c>
      <c r="AY245" s="21">
        <v>0.15</v>
      </c>
      <c r="AZ245">
        <v>323</v>
      </c>
      <c r="BA245" s="21">
        <v>0.14499999999999999</v>
      </c>
    </row>
    <row r="246" spans="1:53" x14ac:dyDescent="0.25">
      <c r="A246" s="1" t="s">
        <v>145</v>
      </c>
      <c r="B246">
        <v>245</v>
      </c>
      <c r="C246">
        <v>-4.7</v>
      </c>
      <c r="D246">
        <v>229</v>
      </c>
      <c r="E246">
        <v>-2.2000000000000002</v>
      </c>
      <c r="F246">
        <v>185</v>
      </c>
      <c r="G246">
        <v>-2.6</v>
      </c>
      <c r="H246">
        <v>337</v>
      </c>
      <c r="I246">
        <v>-7.7</v>
      </c>
      <c r="J246">
        <v>253</v>
      </c>
      <c r="K246">
        <v>-0.9</v>
      </c>
      <c r="L246">
        <v>263</v>
      </c>
      <c r="M246">
        <v>11</v>
      </c>
      <c r="N246">
        <v>164</v>
      </c>
      <c r="O246">
        <v>1.1559999999999999</v>
      </c>
      <c r="P246">
        <v>272</v>
      </c>
      <c r="Q246">
        <v>1.262</v>
      </c>
      <c r="R246">
        <v>279</v>
      </c>
      <c r="S246">
        <v>0.33300000000000002</v>
      </c>
      <c r="T246">
        <v>201</v>
      </c>
      <c r="U246">
        <v>0.95099999999999996</v>
      </c>
      <c r="V246">
        <v>336</v>
      </c>
      <c r="W246">
        <v>0.99099999999999999</v>
      </c>
      <c r="X246">
        <v>275</v>
      </c>
      <c r="Y246">
        <v>0.996</v>
      </c>
      <c r="Z246">
        <v>222</v>
      </c>
      <c r="AA246">
        <v>1.0529999999999999</v>
      </c>
      <c r="AB246">
        <v>250</v>
      </c>
      <c r="AC246" s="21">
        <v>0.495</v>
      </c>
      <c r="AD246" s="21">
        <v>0.47099999999999997</v>
      </c>
      <c r="AE246">
        <v>286</v>
      </c>
      <c r="AF246">
        <v>119</v>
      </c>
      <c r="AG246" s="21">
        <v>0.497</v>
      </c>
      <c r="AH246">
        <v>233</v>
      </c>
      <c r="AI246">
        <v>18.738</v>
      </c>
      <c r="AJ246">
        <v>231</v>
      </c>
      <c r="AK246" s="21">
        <v>0.254</v>
      </c>
      <c r="AL246">
        <v>153</v>
      </c>
      <c r="AM246" s="21">
        <v>0.32400000000000001</v>
      </c>
      <c r="AN246">
        <v>314</v>
      </c>
      <c r="AO246" s="21">
        <v>0.312</v>
      </c>
      <c r="AP246">
        <v>112</v>
      </c>
      <c r="AQ246" s="21">
        <v>0.32700000000000001</v>
      </c>
      <c r="AR246">
        <v>263</v>
      </c>
      <c r="AS246" s="21">
        <v>0.249</v>
      </c>
      <c r="AT246">
        <v>201</v>
      </c>
      <c r="AU246" s="21">
        <v>0.72</v>
      </c>
      <c r="AV246">
        <v>171</v>
      </c>
      <c r="AW246">
        <v>70.400000000000006</v>
      </c>
      <c r="AX246">
        <v>156</v>
      </c>
      <c r="AY246" s="21">
        <v>0.16400000000000001</v>
      </c>
      <c r="AZ246">
        <v>336</v>
      </c>
      <c r="BA246" s="21">
        <v>0.14000000000000001</v>
      </c>
    </row>
    <row r="247" spans="1:53" x14ac:dyDescent="0.25">
      <c r="A247" s="1" t="s">
        <v>575</v>
      </c>
      <c r="B247">
        <v>246</v>
      </c>
      <c r="C247">
        <v>-4.7</v>
      </c>
      <c r="D247">
        <v>321</v>
      </c>
      <c r="E247">
        <v>-12.4</v>
      </c>
      <c r="F247">
        <v>318</v>
      </c>
      <c r="G247">
        <v>-6.3</v>
      </c>
      <c r="H247">
        <v>244</v>
      </c>
      <c r="I247">
        <v>-4</v>
      </c>
      <c r="J247">
        <v>156</v>
      </c>
      <c r="K247">
        <v>0.4</v>
      </c>
      <c r="L247">
        <v>320</v>
      </c>
      <c r="M247">
        <v>11.7</v>
      </c>
      <c r="N247">
        <v>288</v>
      </c>
      <c r="O247">
        <v>0.95099999999999996</v>
      </c>
      <c r="P247">
        <v>30</v>
      </c>
      <c r="Q247">
        <v>0.88200000000000001</v>
      </c>
      <c r="R247">
        <v>77</v>
      </c>
      <c r="S247">
        <v>0.625</v>
      </c>
      <c r="T247">
        <v>279</v>
      </c>
      <c r="U247">
        <v>0.93300000000000005</v>
      </c>
      <c r="V247">
        <v>102</v>
      </c>
      <c r="W247">
        <v>0.94299999999999995</v>
      </c>
      <c r="X247">
        <v>311</v>
      </c>
      <c r="Y247">
        <v>0.97699999999999998</v>
      </c>
      <c r="Z247">
        <v>27</v>
      </c>
      <c r="AA247">
        <v>0.96599999999999997</v>
      </c>
      <c r="AB247">
        <v>248</v>
      </c>
      <c r="AC247" s="21">
        <v>0.495</v>
      </c>
      <c r="AD247" s="21">
        <v>0.49</v>
      </c>
      <c r="AE247">
        <v>206</v>
      </c>
      <c r="AF247">
        <v>20</v>
      </c>
      <c r="AG247" s="21">
        <v>0.46700000000000003</v>
      </c>
      <c r="AH247">
        <v>310</v>
      </c>
      <c r="AI247">
        <v>16.757999999999999</v>
      </c>
      <c r="AJ247">
        <v>272</v>
      </c>
      <c r="AK247" s="21">
        <v>0.26300000000000001</v>
      </c>
      <c r="AL247">
        <v>290</v>
      </c>
      <c r="AM247" s="21">
        <v>0.27800000000000002</v>
      </c>
      <c r="AN247">
        <v>50</v>
      </c>
      <c r="AO247" s="21">
        <v>0.36599999999999999</v>
      </c>
      <c r="AP247">
        <v>52</v>
      </c>
      <c r="AQ247" s="21">
        <v>0.314</v>
      </c>
      <c r="AR247">
        <v>127</v>
      </c>
      <c r="AS247" s="21">
        <v>0.29399999999999998</v>
      </c>
      <c r="AT247">
        <v>344</v>
      </c>
      <c r="AU247" s="21">
        <v>0.67400000000000004</v>
      </c>
      <c r="AV247">
        <v>193</v>
      </c>
      <c r="AW247">
        <v>70.099999999999994</v>
      </c>
      <c r="AX247">
        <v>340</v>
      </c>
      <c r="AY247" s="21">
        <v>0.19900000000000001</v>
      </c>
      <c r="AZ247">
        <v>18</v>
      </c>
      <c r="BA247" s="21">
        <v>0.21</v>
      </c>
    </row>
    <row r="248" spans="1:53" x14ac:dyDescent="0.25">
      <c r="A248" s="1" t="s">
        <v>41</v>
      </c>
      <c r="B248">
        <v>247</v>
      </c>
      <c r="C248">
        <v>-4.7</v>
      </c>
      <c r="D248">
        <v>288</v>
      </c>
      <c r="E248">
        <v>-6.9</v>
      </c>
      <c r="F248">
        <v>238</v>
      </c>
      <c r="G248">
        <v>-3.7</v>
      </c>
      <c r="H248">
        <v>269</v>
      </c>
      <c r="I248">
        <v>-4.8</v>
      </c>
      <c r="J248">
        <v>271</v>
      </c>
      <c r="K248">
        <v>-1.3</v>
      </c>
      <c r="L248">
        <v>87</v>
      </c>
      <c r="M248">
        <v>9.4</v>
      </c>
      <c r="N248">
        <v>229</v>
      </c>
      <c r="O248">
        <v>1.0349999999999999</v>
      </c>
      <c r="P248">
        <v>213</v>
      </c>
      <c r="Q248">
        <v>1.175</v>
      </c>
      <c r="R248">
        <v>212</v>
      </c>
      <c r="S248">
        <v>0.46200000000000002</v>
      </c>
      <c r="T248">
        <v>128</v>
      </c>
      <c r="U248">
        <v>0.96599999999999997</v>
      </c>
      <c r="V248">
        <v>229</v>
      </c>
      <c r="W248">
        <v>0.96499999999999997</v>
      </c>
      <c r="X248">
        <v>274</v>
      </c>
      <c r="Y248">
        <v>0.996</v>
      </c>
      <c r="Z248">
        <v>188</v>
      </c>
      <c r="AA248">
        <v>1.0409999999999999</v>
      </c>
      <c r="AB248">
        <v>271</v>
      </c>
      <c r="AC248" s="21">
        <v>0.48899999999999999</v>
      </c>
      <c r="AD248" s="21">
        <v>0.48499999999999999</v>
      </c>
      <c r="AE248">
        <v>232</v>
      </c>
      <c r="AF248">
        <v>175</v>
      </c>
      <c r="AG248" s="21">
        <v>0.50800000000000001</v>
      </c>
      <c r="AH248">
        <v>318</v>
      </c>
      <c r="AI248">
        <v>16.524000000000001</v>
      </c>
      <c r="AJ248">
        <v>170</v>
      </c>
      <c r="AK248" s="21">
        <v>0.24099999999999999</v>
      </c>
      <c r="AL248">
        <v>147</v>
      </c>
      <c r="AM248" s="21">
        <v>0.32600000000000001</v>
      </c>
      <c r="AN248">
        <v>276</v>
      </c>
      <c r="AO248" s="21">
        <v>0.318</v>
      </c>
      <c r="AP248">
        <v>240</v>
      </c>
      <c r="AQ248" s="21">
        <v>0.34699999999999998</v>
      </c>
      <c r="AR248">
        <v>226</v>
      </c>
      <c r="AS248" s="21">
        <v>0.26300000000000001</v>
      </c>
      <c r="AT248">
        <v>163</v>
      </c>
      <c r="AU248" s="21">
        <v>0.72599999999999998</v>
      </c>
      <c r="AV248">
        <v>23</v>
      </c>
      <c r="AW248">
        <v>74</v>
      </c>
      <c r="AX248">
        <v>146</v>
      </c>
      <c r="AY248" s="21">
        <v>0.16300000000000001</v>
      </c>
      <c r="AZ248">
        <v>193</v>
      </c>
      <c r="BA248" s="21">
        <v>0.16400000000000001</v>
      </c>
    </row>
    <row r="249" spans="1:53" x14ac:dyDescent="0.25">
      <c r="A249" s="1" t="s">
        <v>66</v>
      </c>
      <c r="B249">
        <v>248</v>
      </c>
      <c r="C249">
        <v>-4.7</v>
      </c>
      <c r="D249">
        <v>319</v>
      </c>
      <c r="E249">
        <v>-12.3</v>
      </c>
      <c r="F249">
        <v>276</v>
      </c>
      <c r="G249">
        <v>-4.7</v>
      </c>
      <c r="H249">
        <v>310</v>
      </c>
      <c r="I249">
        <v>-6.4</v>
      </c>
      <c r="J249">
        <v>25</v>
      </c>
      <c r="K249">
        <v>2.6</v>
      </c>
      <c r="L249">
        <v>49</v>
      </c>
      <c r="M249">
        <v>8.9</v>
      </c>
      <c r="N249">
        <v>155</v>
      </c>
      <c r="O249">
        <v>1.173</v>
      </c>
      <c r="P249">
        <v>232</v>
      </c>
      <c r="Q249">
        <v>1.2</v>
      </c>
      <c r="R249">
        <v>50</v>
      </c>
      <c r="S249">
        <v>0.66700000000000004</v>
      </c>
      <c r="T249">
        <v>17</v>
      </c>
      <c r="U249">
        <v>1.006</v>
      </c>
      <c r="V249">
        <v>281</v>
      </c>
      <c r="W249">
        <v>0.97199999999999998</v>
      </c>
      <c r="X249">
        <v>63</v>
      </c>
      <c r="Y249">
        <v>1.0960000000000001</v>
      </c>
      <c r="Z249">
        <v>344</v>
      </c>
      <c r="AA249">
        <v>1.125</v>
      </c>
      <c r="AB249">
        <v>222</v>
      </c>
      <c r="AC249" s="21">
        <v>0.501</v>
      </c>
      <c r="AD249" s="21">
        <v>0.48099999999999998</v>
      </c>
      <c r="AE249">
        <v>255</v>
      </c>
      <c r="AF249">
        <v>341</v>
      </c>
      <c r="AG249" s="21">
        <v>0.54800000000000004</v>
      </c>
      <c r="AH249">
        <v>2</v>
      </c>
      <c r="AI249">
        <v>26.806000000000001</v>
      </c>
      <c r="AJ249">
        <v>238</v>
      </c>
      <c r="AK249" s="21">
        <v>0.25700000000000001</v>
      </c>
      <c r="AL249">
        <v>308</v>
      </c>
      <c r="AM249" s="21">
        <v>0.26800000000000002</v>
      </c>
      <c r="AN249">
        <v>289</v>
      </c>
      <c r="AO249" s="21">
        <v>0.316</v>
      </c>
      <c r="AP249">
        <v>305</v>
      </c>
      <c r="AQ249" s="21">
        <v>0.35899999999999999</v>
      </c>
      <c r="AR249">
        <v>188</v>
      </c>
      <c r="AS249" s="21">
        <v>0.27600000000000002</v>
      </c>
      <c r="AT249">
        <v>350</v>
      </c>
      <c r="AU249" s="21">
        <v>0.67</v>
      </c>
      <c r="AV249">
        <v>3</v>
      </c>
      <c r="AW249">
        <v>77</v>
      </c>
      <c r="AX249">
        <v>2</v>
      </c>
      <c r="AY249" s="21">
        <v>0.123</v>
      </c>
      <c r="AZ249">
        <v>171</v>
      </c>
      <c r="BA249" s="21">
        <v>0.16900000000000001</v>
      </c>
    </row>
    <row r="250" spans="1:53" x14ac:dyDescent="0.25">
      <c r="A250" s="1" t="s">
        <v>576</v>
      </c>
      <c r="B250">
        <v>249</v>
      </c>
      <c r="C250">
        <v>-4.8</v>
      </c>
      <c r="D250">
        <v>238</v>
      </c>
      <c r="E250">
        <v>-2.7</v>
      </c>
      <c r="F250">
        <v>216</v>
      </c>
      <c r="G250">
        <v>-3.2</v>
      </c>
      <c r="H250">
        <v>285</v>
      </c>
      <c r="I250">
        <v>-5.2</v>
      </c>
      <c r="J250">
        <v>216</v>
      </c>
      <c r="K250">
        <v>-0.5</v>
      </c>
      <c r="L250">
        <v>295</v>
      </c>
      <c r="M250">
        <v>11.3</v>
      </c>
      <c r="N250">
        <v>358</v>
      </c>
      <c r="O250">
        <v>0.74399999999999999</v>
      </c>
      <c r="P250">
        <v>98</v>
      </c>
      <c r="Q250">
        <v>1</v>
      </c>
      <c r="R250">
        <v>158</v>
      </c>
      <c r="S250">
        <v>0.5</v>
      </c>
      <c r="T250">
        <v>127</v>
      </c>
      <c r="U250">
        <v>0.96599999999999997</v>
      </c>
      <c r="V250">
        <v>51</v>
      </c>
      <c r="W250">
        <v>0.92800000000000005</v>
      </c>
      <c r="X250">
        <v>195</v>
      </c>
      <c r="Y250">
        <v>1.0289999999999999</v>
      </c>
      <c r="Z250">
        <v>291</v>
      </c>
      <c r="AA250">
        <v>1.0820000000000001</v>
      </c>
      <c r="AB250">
        <v>296</v>
      </c>
      <c r="AC250" s="21">
        <v>0.48199999999999998</v>
      </c>
      <c r="AD250" s="21">
        <v>0.46400000000000002</v>
      </c>
      <c r="AE250">
        <v>308</v>
      </c>
      <c r="AF250">
        <v>324</v>
      </c>
      <c r="AG250" s="21">
        <v>0.54300000000000004</v>
      </c>
      <c r="AH250">
        <v>58</v>
      </c>
      <c r="AI250">
        <v>22.292000000000002</v>
      </c>
      <c r="AJ250">
        <v>362</v>
      </c>
      <c r="AK250" s="21">
        <v>0.318</v>
      </c>
      <c r="AL250">
        <v>320</v>
      </c>
      <c r="AM250" s="21">
        <v>0.25700000000000001</v>
      </c>
      <c r="AN250">
        <v>30</v>
      </c>
      <c r="AO250" s="21">
        <v>0.372</v>
      </c>
      <c r="AP250">
        <v>288</v>
      </c>
      <c r="AQ250" s="21">
        <v>0.35699999999999998</v>
      </c>
      <c r="AR250">
        <v>30</v>
      </c>
      <c r="AS250" s="21">
        <v>0.33700000000000002</v>
      </c>
      <c r="AT250">
        <v>180</v>
      </c>
      <c r="AU250" s="21">
        <v>0.72399999999999998</v>
      </c>
      <c r="AV250">
        <v>219</v>
      </c>
      <c r="AW250">
        <v>69.5</v>
      </c>
      <c r="AX250">
        <v>290</v>
      </c>
      <c r="AY250" s="21">
        <v>0.183</v>
      </c>
      <c r="AZ250">
        <v>81</v>
      </c>
      <c r="BA250" s="21">
        <v>0.184</v>
      </c>
    </row>
    <row r="251" spans="1:53" x14ac:dyDescent="0.25">
      <c r="A251" s="1" t="s">
        <v>216</v>
      </c>
      <c r="B251">
        <v>250</v>
      </c>
      <c r="C251">
        <v>-4.8</v>
      </c>
      <c r="D251">
        <v>347</v>
      </c>
      <c r="E251">
        <v>-18.7</v>
      </c>
      <c r="F251">
        <v>142</v>
      </c>
      <c r="G251">
        <v>-0.8</v>
      </c>
      <c r="H251">
        <v>198</v>
      </c>
      <c r="I251">
        <v>-2.9</v>
      </c>
      <c r="J251">
        <v>200</v>
      </c>
      <c r="K251">
        <v>-0.2</v>
      </c>
      <c r="L251">
        <v>344</v>
      </c>
      <c r="M251">
        <v>12.3</v>
      </c>
      <c r="N251">
        <v>233</v>
      </c>
      <c r="O251">
        <v>1.03</v>
      </c>
      <c r="P251">
        <v>221</v>
      </c>
      <c r="Q251">
        <v>1.1850000000000001</v>
      </c>
      <c r="R251">
        <v>264</v>
      </c>
      <c r="S251">
        <v>0.375</v>
      </c>
      <c r="T251">
        <v>337</v>
      </c>
      <c r="U251">
        <v>0.91400000000000003</v>
      </c>
      <c r="V251">
        <v>217</v>
      </c>
      <c r="W251">
        <v>0.96299999999999997</v>
      </c>
      <c r="X251">
        <v>333</v>
      </c>
      <c r="Y251">
        <v>0.95</v>
      </c>
      <c r="Z251">
        <v>192</v>
      </c>
      <c r="AA251">
        <v>1.0429999999999999</v>
      </c>
      <c r="AB251">
        <v>277</v>
      </c>
      <c r="AC251" s="21">
        <v>0.48799999999999999</v>
      </c>
      <c r="AD251" s="21">
        <v>0.44800000000000001</v>
      </c>
      <c r="AE251">
        <v>342</v>
      </c>
      <c r="AF251">
        <v>143</v>
      </c>
      <c r="AG251" s="21">
        <v>0.502</v>
      </c>
      <c r="AH251">
        <v>288</v>
      </c>
      <c r="AI251">
        <v>17.425999999999998</v>
      </c>
      <c r="AJ251">
        <v>233</v>
      </c>
      <c r="AK251" s="21">
        <v>0.255</v>
      </c>
      <c r="AL251">
        <v>208</v>
      </c>
      <c r="AM251" s="21">
        <v>0.30499999999999999</v>
      </c>
      <c r="AN251">
        <v>344</v>
      </c>
      <c r="AO251" s="21">
        <v>0.29899999999999999</v>
      </c>
      <c r="AP251">
        <v>193</v>
      </c>
      <c r="AQ251" s="21">
        <v>0.34100000000000003</v>
      </c>
      <c r="AR251">
        <v>348</v>
      </c>
      <c r="AS251" s="21">
        <v>0.19900000000000001</v>
      </c>
      <c r="AT251">
        <v>166</v>
      </c>
      <c r="AU251" s="21">
        <v>0.72599999999999998</v>
      </c>
      <c r="AV251">
        <v>265</v>
      </c>
      <c r="AW251">
        <v>68.5</v>
      </c>
      <c r="AX251">
        <v>221</v>
      </c>
      <c r="AY251" s="21">
        <v>0.17299999999999999</v>
      </c>
      <c r="AZ251">
        <v>205</v>
      </c>
      <c r="BA251" s="21">
        <v>0.16300000000000001</v>
      </c>
    </row>
    <row r="252" spans="1:53" x14ac:dyDescent="0.25">
      <c r="A252" s="1" t="s">
        <v>207</v>
      </c>
      <c r="B252">
        <v>251</v>
      </c>
      <c r="C252">
        <v>-4.9000000000000004</v>
      </c>
      <c r="D252">
        <v>304</v>
      </c>
      <c r="E252">
        <v>-10</v>
      </c>
      <c r="F252">
        <v>167</v>
      </c>
      <c r="G252">
        <v>-1.7</v>
      </c>
      <c r="H252">
        <v>114</v>
      </c>
      <c r="I252">
        <v>0</v>
      </c>
      <c r="J252">
        <v>152</v>
      </c>
      <c r="K252">
        <v>0.5</v>
      </c>
      <c r="L252">
        <v>268</v>
      </c>
      <c r="M252">
        <v>11</v>
      </c>
      <c r="N252">
        <v>208</v>
      </c>
      <c r="O252">
        <v>1.069</v>
      </c>
      <c r="P252">
        <v>273</v>
      </c>
      <c r="Q252">
        <v>1.2629999999999999</v>
      </c>
      <c r="R252">
        <v>223</v>
      </c>
      <c r="S252">
        <v>0.44400000000000001</v>
      </c>
      <c r="T252">
        <v>98</v>
      </c>
      <c r="U252">
        <v>0.97</v>
      </c>
      <c r="V252">
        <v>345</v>
      </c>
      <c r="W252">
        <v>0.995</v>
      </c>
      <c r="X252">
        <v>247</v>
      </c>
      <c r="Y252">
        <v>1.0089999999999999</v>
      </c>
      <c r="Z252">
        <v>289</v>
      </c>
      <c r="AA252">
        <v>1.081</v>
      </c>
      <c r="AB252">
        <v>323</v>
      </c>
      <c r="AC252" s="21">
        <v>0.47199999999999998</v>
      </c>
      <c r="AD252" s="21">
        <v>0.441</v>
      </c>
      <c r="AE252">
        <v>350</v>
      </c>
      <c r="AF252">
        <v>171</v>
      </c>
      <c r="AG252" s="21">
        <v>0.50700000000000001</v>
      </c>
      <c r="AH252">
        <v>48</v>
      </c>
      <c r="AI252">
        <v>22.599</v>
      </c>
      <c r="AJ252">
        <v>275</v>
      </c>
      <c r="AK252" s="21">
        <v>0.26400000000000001</v>
      </c>
      <c r="AL252">
        <v>218</v>
      </c>
      <c r="AM252" s="21">
        <v>0.30099999999999999</v>
      </c>
      <c r="AN252">
        <v>97</v>
      </c>
      <c r="AO252" s="21">
        <v>0.35199999999999998</v>
      </c>
      <c r="AP252">
        <v>180</v>
      </c>
      <c r="AQ252" s="21">
        <v>0.33800000000000002</v>
      </c>
      <c r="AR252">
        <v>176</v>
      </c>
      <c r="AS252" s="21">
        <v>0.27900000000000003</v>
      </c>
      <c r="AT252">
        <v>354</v>
      </c>
      <c r="AU252" s="21">
        <v>0.66700000000000004</v>
      </c>
      <c r="AV252">
        <v>207</v>
      </c>
      <c r="AW252">
        <v>69.7</v>
      </c>
      <c r="AX252">
        <v>113</v>
      </c>
      <c r="AY252" s="21">
        <v>0.158</v>
      </c>
      <c r="AZ252">
        <v>215</v>
      </c>
      <c r="BA252" s="21">
        <v>0.16200000000000001</v>
      </c>
    </row>
    <row r="253" spans="1:53" x14ac:dyDescent="0.25">
      <c r="A253" s="1" t="s">
        <v>103</v>
      </c>
      <c r="B253">
        <v>252</v>
      </c>
      <c r="C253">
        <v>-5.2</v>
      </c>
      <c r="D253">
        <v>230</v>
      </c>
      <c r="E253">
        <v>-2.2000000000000002</v>
      </c>
      <c r="F253">
        <v>279</v>
      </c>
      <c r="G253">
        <v>-4.9000000000000004</v>
      </c>
      <c r="H253">
        <v>171</v>
      </c>
      <c r="I253">
        <v>-2</v>
      </c>
      <c r="J253">
        <v>161</v>
      </c>
      <c r="K253">
        <v>0.3</v>
      </c>
      <c r="L253">
        <v>173</v>
      </c>
      <c r="M253">
        <v>10.3</v>
      </c>
      <c r="N253">
        <v>262</v>
      </c>
      <c r="O253">
        <v>1.002</v>
      </c>
      <c r="P253">
        <v>42</v>
      </c>
      <c r="Q253">
        <v>0.92700000000000005</v>
      </c>
      <c r="R253">
        <v>158</v>
      </c>
      <c r="S253">
        <v>0.5</v>
      </c>
      <c r="T253">
        <v>97</v>
      </c>
      <c r="U253">
        <v>0.97099999999999997</v>
      </c>
      <c r="V253">
        <v>6</v>
      </c>
      <c r="W253">
        <v>0.89400000000000002</v>
      </c>
      <c r="X253">
        <v>307</v>
      </c>
      <c r="Y253">
        <v>0.98</v>
      </c>
      <c r="Z253">
        <v>70</v>
      </c>
      <c r="AA253">
        <v>0.99099999999999999</v>
      </c>
      <c r="AB253">
        <v>315</v>
      </c>
      <c r="AC253" s="21">
        <v>0.47499999999999998</v>
      </c>
      <c r="AD253" s="21">
        <v>0.48899999999999999</v>
      </c>
      <c r="AE253">
        <v>212</v>
      </c>
      <c r="AF253">
        <v>228</v>
      </c>
      <c r="AG253" s="21">
        <v>0.51700000000000002</v>
      </c>
      <c r="AH253">
        <v>322</v>
      </c>
      <c r="AI253">
        <v>16.382000000000001</v>
      </c>
      <c r="AJ253">
        <v>183</v>
      </c>
      <c r="AK253" s="21">
        <v>0.24399999999999999</v>
      </c>
      <c r="AL253">
        <v>247</v>
      </c>
      <c r="AM253" s="21">
        <v>0.28999999999999998</v>
      </c>
      <c r="AN253">
        <v>275</v>
      </c>
      <c r="AO253" s="21">
        <v>0.318</v>
      </c>
      <c r="AP253">
        <v>108</v>
      </c>
      <c r="AQ253" s="21">
        <v>0.32600000000000001</v>
      </c>
      <c r="AR253">
        <v>6</v>
      </c>
      <c r="AS253" s="21">
        <v>0.374</v>
      </c>
      <c r="AT253">
        <v>218</v>
      </c>
      <c r="AU253" s="21">
        <v>0.71699999999999997</v>
      </c>
      <c r="AV253">
        <v>133</v>
      </c>
      <c r="AW253">
        <v>71.099999999999994</v>
      </c>
      <c r="AX253">
        <v>349</v>
      </c>
      <c r="AY253" s="21">
        <v>0.20300000000000001</v>
      </c>
      <c r="AZ253">
        <v>6</v>
      </c>
      <c r="BA253" s="21">
        <v>0.222</v>
      </c>
    </row>
    <row r="254" spans="1:53" x14ac:dyDescent="0.25">
      <c r="A254" s="1" t="s">
        <v>249</v>
      </c>
      <c r="B254">
        <v>253</v>
      </c>
      <c r="C254">
        <v>-5.2</v>
      </c>
      <c r="D254">
        <v>272</v>
      </c>
      <c r="E254">
        <v>-5.3</v>
      </c>
      <c r="F254">
        <v>231</v>
      </c>
      <c r="G254">
        <v>-3.7</v>
      </c>
      <c r="H254">
        <v>241</v>
      </c>
      <c r="I254">
        <v>-3.9</v>
      </c>
      <c r="J254">
        <v>219</v>
      </c>
      <c r="K254">
        <v>-0.6</v>
      </c>
      <c r="L254">
        <v>152</v>
      </c>
      <c r="M254">
        <v>10</v>
      </c>
      <c r="N254">
        <v>267</v>
      </c>
      <c r="O254">
        <v>0.995</v>
      </c>
      <c r="P254">
        <v>361</v>
      </c>
      <c r="Q254">
        <v>1.706</v>
      </c>
      <c r="R254">
        <v>150</v>
      </c>
      <c r="S254">
        <v>0.53900000000000003</v>
      </c>
      <c r="T254">
        <v>92</v>
      </c>
      <c r="U254">
        <v>0.97299999999999998</v>
      </c>
      <c r="V254">
        <v>358</v>
      </c>
      <c r="W254">
        <v>1.016</v>
      </c>
      <c r="X254">
        <v>177</v>
      </c>
      <c r="Y254">
        <v>1.0349999999999999</v>
      </c>
      <c r="Z254">
        <v>323</v>
      </c>
      <c r="AA254">
        <v>1.0980000000000001</v>
      </c>
      <c r="AB254">
        <v>200</v>
      </c>
      <c r="AC254" s="21">
        <v>0.504</v>
      </c>
      <c r="AD254" s="21">
        <v>0.48399999999999999</v>
      </c>
      <c r="AE254">
        <v>241</v>
      </c>
      <c r="AF254">
        <v>190</v>
      </c>
      <c r="AG254" s="21">
        <v>0.51100000000000001</v>
      </c>
      <c r="AH254">
        <v>197</v>
      </c>
      <c r="AI254">
        <v>19.373000000000001</v>
      </c>
      <c r="AJ254">
        <v>51</v>
      </c>
      <c r="AK254" s="21">
        <v>0.20899999999999999</v>
      </c>
      <c r="AL254">
        <v>293</v>
      </c>
      <c r="AM254" s="21">
        <v>0.27700000000000002</v>
      </c>
      <c r="AN254">
        <v>148</v>
      </c>
      <c r="AO254" s="21">
        <v>0.34399999999999997</v>
      </c>
      <c r="AP254">
        <v>140</v>
      </c>
      <c r="AQ254" s="21">
        <v>0.33300000000000002</v>
      </c>
      <c r="AR254">
        <v>102</v>
      </c>
      <c r="AS254" s="21">
        <v>0.30599999999999999</v>
      </c>
      <c r="AT254">
        <v>274</v>
      </c>
      <c r="AU254" s="21">
        <v>0.70299999999999996</v>
      </c>
      <c r="AV254">
        <v>110</v>
      </c>
      <c r="AW254">
        <v>71.599999999999994</v>
      </c>
      <c r="AX254">
        <v>159</v>
      </c>
      <c r="AY254" s="21">
        <v>0.16400000000000001</v>
      </c>
      <c r="AZ254">
        <v>357</v>
      </c>
      <c r="BA254" s="21">
        <v>0.126</v>
      </c>
    </row>
    <row r="255" spans="1:53" x14ac:dyDescent="0.25">
      <c r="A255" s="1" t="s">
        <v>114</v>
      </c>
      <c r="B255">
        <v>254</v>
      </c>
      <c r="C255">
        <v>-5.2</v>
      </c>
      <c r="D255">
        <v>297</v>
      </c>
      <c r="E255">
        <v>-8.5</v>
      </c>
      <c r="F255">
        <v>324</v>
      </c>
      <c r="G255">
        <v>-6.7</v>
      </c>
      <c r="H255">
        <v>329</v>
      </c>
      <c r="I255">
        <v>-7.4</v>
      </c>
      <c r="J255">
        <v>12</v>
      </c>
      <c r="K255">
        <v>3.3</v>
      </c>
      <c r="L255">
        <v>41</v>
      </c>
      <c r="M255">
        <v>8.6999999999999993</v>
      </c>
      <c r="N255">
        <v>153</v>
      </c>
      <c r="O255">
        <v>1.173</v>
      </c>
      <c r="P255">
        <v>53</v>
      </c>
      <c r="Q255">
        <v>0.95</v>
      </c>
      <c r="R255">
        <v>46</v>
      </c>
      <c r="S255">
        <v>0.70599999999999996</v>
      </c>
      <c r="T255">
        <v>196</v>
      </c>
      <c r="U255">
        <v>0.95199999999999996</v>
      </c>
      <c r="V255">
        <v>127</v>
      </c>
      <c r="W255">
        <v>0.94799999999999995</v>
      </c>
      <c r="X255">
        <v>283</v>
      </c>
      <c r="Y255">
        <v>0.99099999999999999</v>
      </c>
      <c r="Z255">
        <v>32</v>
      </c>
      <c r="AA255">
        <v>0.96899999999999997</v>
      </c>
      <c r="AB255">
        <v>230</v>
      </c>
      <c r="AC255" s="21">
        <v>0.499</v>
      </c>
      <c r="AD255" s="21">
        <v>0.495</v>
      </c>
      <c r="AE255">
        <v>180</v>
      </c>
      <c r="AF255">
        <v>23</v>
      </c>
      <c r="AG255" s="21">
        <v>0.46899999999999997</v>
      </c>
      <c r="AH255">
        <v>363</v>
      </c>
      <c r="AI255">
        <v>13.574</v>
      </c>
      <c r="AJ255">
        <v>198</v>
      </c>
      <c r="AK255" s="21">
        <v>0.246</v>
      </c>
      <c r="AL255">
        <v>200</v>
      </c>
      <c r="AM255" s="21">
        <v>0.30599999999999999</v>
      </c>
      <c r="AN255">
        <v>295</v>
      </c>
      <c r="AO255" s="21">
        <v>0.314</v>
      </c>
      <c r="AP255">
        <v>173</v>
      </c>
      <c r="AQ255" s="21">
        <v>0.33700000000000002</v>
      </c>
      <c r="AR255">
        <v>147</v>
      </c>
      <c r="AS255" s="21">
        <v>0.28799999999999998</v>
      </c>
      <c r="AT255">
        <v>16</v>
      </c>
      <c r="AU255" s="21">
        <v>0.77100000000000002</v>
      </c>
      <c r="AV255">
        <v>346</v>
      </c>
      <c r="AW255">
        <v>66.5</v>
      </c>
      <c r="AX255">
        <v>267</v>
      </c>
      <c r="AY255" s="21">
        <v>0.17899999999999999</v>
      </c>
      <c r="AZ255">
        <v>236</v>
      </c>
      <c r="BA255" s="21">
        <v>0.16</v>
      </c>
    </row>
    <row r="256" spans="1:53" x14ac:dyDescent="0.25">
      <c r="A256" s="1" t="s">
        <v>144</v>
      </c>
      <c r="B256">
        <v>255</v>
      </c>
      <c r="C256">
        <v>-5.3</v>
      </c>
      <c r="D256">
        <v>178</v>
      </c>
      <c r="E256" t="s">
        <v>5</v>
      </c>
      <c r="F256">
        <v>188</v>
      </c>
      <c r="G256">
        <v>-2.7</v>
      </c>
      <c r="H256">
        <v>232</v>
      </c>
      <c r="I256">
        <v>-3.7</v>
      </c>
      <c r="J256">
        <v>98</v>
      </c>
      <c r="K256">
        <v>1.2</v>
      </c>
      <c r="L256">
        <v>262</v>
      </c>
      <c r="M256">
        <v>11</v>
      </c>
      <c r="N256">
        <v>177</v>
      </c>
      <c r="O256">
        <v>1.1339999999999999</v>
      </c>
      <c r="P256">
        <v>188</v>
      </c>
      <c r="Q256">
        <v>1.145</v>
      </c>
      <c r="R256">
        <v>239</v>
      </c>
      <c r="S256">
        <v>0.42899999999999999</v>
      </c>
      <c r="T256">
        <v>323</v>
      </c>
      <c r="U256">
        <v>0.92</v>
      </c>
      <c r="V256">
        <v>155</v>
      </c>
      <c r="W256">
        <v>0.95299999999999996</v>
      </c>
      <c r="X256">
        <v>282</v>
      </c>
      <c r="Y256">
        <v>0.99199999999999999</v>
      </c>
      <c r="Z256">
        <v>208</v>
      </c>
      <c r="AA256">
        <v>1.0489999999999999</v>
      </c>
      <c r="AB256">
        <v>191</v>
      </c>
      <c r="AC256" s="21">
        <v>0.50600000000000001</v>
      </c>
      <c r="AD256" s="21">
        <v>0.49</v>
      </c>
      <c r="AE256">
        <v>206</v>
      </c>
      <c r="AF256">
        <v>247</v>
      </c>
      <c r="AG256" s="21">
        <v>0.52200000000000002</v>
      </c>
      <c r="AH256">
        <v>342</v>
      </c>
      <c r="AI256">
        <v>15.625</v>
      </c>
      <c r="AJ256">
        <v>15</v>
      </c>
      <c r="AK256" s="21">
        <v>0.186</v>
      </c>
      <c r="AL256">
        <v>165</v>
      </c>
      <c r="AM256" s="21">
        <v>0.31900000000000001</v>
      </c>
      <c r="AN256">
        <v>264</v>
      </c>
      <c r="AO256" s="21">
        <v>0.32</v>
      </c>
      <c r="AP256">
        <v>166</v>
      </c>
      <c r="AQ256" s="21">
        <v>0.33500000000000002</v>
      </c>
      <c r="AR256">
        <v>333</v>
      </c>
      <c r="AS256" s="21">
        <v>0.218</v>
      </c>
      <c r="AT256">
        <v>257</v>
      </c>
      <c r="AU256" s="21">
        <v>0.70799999999999996</v>
      </c>
      <c r="AV256">
        <v>240</v>
      </c>
      <c r="AW256">
        <v>68.900000000000006</v>
      </c>
      <c r="AX256">
        <v>231</v>
      </c>
      <c r="AY256" s="21">
        <v>0.17499999999999999</v>
      </c>
      <c r="AZ256">
        <v>135</v>
      </c>
      <c r="BA256" s="21">
        <v>0.17299999999999999</v>
      </c>
    </row>
    <row r="257" spans="1:53" x14ac:dyDescent="0.25">
      <c r="A257" s="1" t="s">
        <v>577</v>
      </c>
      <c r="B257">
        <v>256</v>
      </c>
      <c r="C257">
        <v>-5.4</v>
      </c>
      <c r="D257">
        <v>280</v>
      </c>
      <c r="E257">
        <v>-6</v>
      </c>
      <c r="F257">
        <v>335</v>
      </c>
      <c r="G257">
        <v>-7.3</v>
      </c>
      <c r="H257">
        <v>307</v>
      </c>
      <c r="I257">
        <v>-6.3</v>
      </c>
      <c r="J257">
        <v>305</v>
      </c>
      <c r="K257">
        <v>-1.9</v>
      </c>
      <c r="L257">
        <v>81</v>
      </c>
      <c r="M257">
        <v>9.4</v>
      </c>
      <c r="N257">
        <v>344</v>
      </c>
      <c r="O257">
        <v>0.82199999999999995</v>
      </c>
      <c r="P257">
        <v>82</v>
      </c>
      <c r="Q257">
        <v>0.98699999999999999</v>
      </c>
      <c r="R257">
        <v>279</v>
      </c>
      <c r="S257">
        <v>0.33300000000000002</v>
      </c>
      <c r="T257">
        <v>269</v>
      </c>
      <c r="U257">
        <v>0.93500000000000005</v>
      </c>
      <c r="V257">
        <v>219</v>
      </c>
      <c r="W257">
        <v>0.96299999999999997</v>
      </c>
      <c r="X257">
        <v>211</v>
      </c>
      <c r="Y257">
        <v>1.022</v>
      </c>
      <c r="Z257">
        <v>114</v>
      </c>
      <c r="AA257">
        <v>1.0129999999999999</v>
      </c>
      <c r="AB257">
        <v>142</v>
      </c>
      <c r="AC257" s="21">
        <v>0.51300000000000001</v>
      </c>
      <c r="AD257" s="21">
        <v>0.50600000000000001</v>
      </c>
      <c r="AE257">
        <v>118</v>
      </c>
      <c r="AF257">
        <v>87</v>
      </c>
      <c r="AG257" s="21">
        <v>0.48799999999999999</v>
      </c>
      <c r="AH257">
        <v>64</v>
      </c>
      <c r="AI257">
        <v>22.087</v>
      </c>
      <c r="AJ257">
        <v>321</v>
      </c>
      <c r="AK257" s="21">
        <v>0.28199999999999997</v>
      </c>
      <c r="AL257">
        <v>330</v>
      </c>
      <c r="AM257" s="21">
        <v>0.251</v>
      </c>
      <c r="AN257">
        <v>233</v>
      </c>
      <c r="AO257" s="21">
        <v>0.32600000000000001</v>
      </c>
      <c r="AP257">
        <v>158</v>
      </c>
      <c r="AQ257" s="21">
        <v>0.33400000000000002</v>
      </c>
      <c r="AR257">
        <v>42</v>
      </c>
      <c r="AS257" s="21">
        <v>0.32800000000000001</v>
      </c>
      <c r="AT257">
        <v>228</v>
      </c>
      <c r="AU257" s="21">
        <v>0.71499999999999997</v>
      </c>
      <c r="AV257">
        <v>19</v>
      </c>
      <c r="AW257">
        <v>74.400000000000006</v>
      </c>
      <c r="AX257">
        <v>354</v>
      </c>
      <c r="AY257" s="21">
        <v>0.20599999999999999</v>
      </c>
      <c r="AZ257">
        <v>167</v>
      </c>
      <c r="BA257" s="21">
        <v>0.16900000000000001</v>
      </c>
    </row>
    <row r="258" spans="1:53" x14ac:dyDescent="0.25">
      <c r="A258" s="1" t="s">
        <v>189</v>
      </c>
      <c r="B258">
        <v>257</v>
      </c>
      <c r="C258">
        <v>-5.4</v>
      </c>
      <c r="D258">
        <v>342</v>
      </c>
      <c r="E258">
        <v>-17.2</v>
      </c>
      <c r="F258">
        <v>306</v>
      </c>
      <c r="G258">
        <v>-6</v>
      </c>
      <c r="H258">
        <v>297</v>
      </c>
      <c r="I258">
        <v>-5.7</v>
      </c>
      <c r="J258">
        <v>86</v>
      </c>
      <c r="K258">
        <v>1.3</v>
      </c>
      <c r="L258">
        <v>56</v>
      </c>
      <c r="M258">
        <v>9</v>
      </c>
      <c r="N258">
        <v>96</v>
      </c>
      <c r="O258">
        <v>1.28</v>
      </c>
      <c r="P258">
        <v>344</v>
      </c>
      <c r="Q258">
        <v>1.528</v>
      </c>
      <c r="R258">
        <v>116</v>
      </c>
      <c r="S258">
        <v>0.57099999999999995</v>
      </c>
      <c r="T258">
        <v>83</v>
      </c>
      <c r="U258">
        <v>0.97599999999999998</v>
      </c>
      <c r="V258">
        <v>352</v>
      </c>
      <c r="W258">
        <v>0.999</v>
      </c>
      <c r="X258">
        <v>91</v>
      </c>
      <c r="Y258">
        <v>1.0740000000000001</v>
      </c>
      <c r="Z258">
        <v>243</v>
      </c>
      <c r="AA258">
        <v>1.06</v>
      </c>
      <c r="AB258">
        <v>178</v>
      </c>
      <c r="AC258" s="21">
        <v>0.50700000000000001</v>
      </c>
      <c r="AD258" s="21">
        <v>0.503</v>
      </c>
      <c r="AE258">
        <v>134</v>
      </c>
      <c r="AF258">
        <v>158</v>
      </c>
      <c r="AG258" s="21">
        <v>0.505</v>
      </c>
      <c r="AH258">
        <v>139</v>
      </c>
      <c r="AI258">
        <v>20.427</v>
      </c>
      <c r="AJ258">
        <v>28</v>
      </c>
      <c r="AK258" s="21">
        <v>0.19900000000000001</v>
      </c>
      <c r="AL258">
        <v>100</v>
      </c>
      <c r="AM258" s="21">
        <v>0.34399999999999997</v>
      </c>
      <c r="AN258">
        <v>153</v>
      </c>
      <c r="AO258" s="21">
        <v>0.34200000000000003</v>
      </c>
      <c r="AP258">
        <v>100</v>
      </c>
      <c r="AQ258" s="21">
        <v>0.32500000000000001</v>
      </c>
      <c r="AR258">
        <v>103</v>
      </c>
      <c r="AS258" s="21">
        <v>0.30599999999999999</v>
      </c>
      <c r="AT258">
        <v>318</v>
      </c>
      <c r="AU258" s="21">
        <v>0.68899999999999995</v>
      </c>
      <c r="AV258">
        <v>173</v>
      </c>
      <c r="AW258">
        <v>70.400000000000006</v>
      </c>
      <c r="AX258">
        <v>172</v>
      </c>
      <c r="AY258" s="21">
        <v>0.16600000000000001</v>
      </c>
      <c r="AZ258">
        <v>308</v>
      </c>
      <c r="BA258" s="21">
        <v>0.14799999999999999</v>
      </c>
    </row>
    <row r="259" spans="1:53" x14ac:dyDescent="0.25">
      <c r="A259" s="1" t="s">
        <v>178</v>
      </c>
      <c r="B259">
        <v>258</v>
      </c>
      <c r="C259">
        <v>-5.4</v>
      </c>
      <c r="D259">
        <v>284</v>
      </c>
      <c r="E259">
        <v>-6.4</v>
      </c>
      <c r="F259">
        <v>277</v>
      </c>
      <c r="G259">
        <v>-4.8</v>
      </c>
      <c r="H259">
        <v>158</v>
      </c>
      <c r="I259">
        <v>-1.6</v>
      </c>
      <c r="J259">
        <v>270</v>
      </c>
      <c r="K259">
        <v>-1.2</v>
      </c>
      <c r="L259">
        <v>151</v>
      </c>
      <c r="M259">
        <v>10</v>
      </c>
      <c r="N259">
        <v>265</v>
      </c>
      <c r="O259">
        <v>0.997</v>
      </c>
      <c r="P259">
        <v>125</v>
      </c>
      <c r="Q259">
        <v>1.0429999999999999</v>
      </c>
      <c r="R259">
        <v>321</v>
      </c>
      <c r="S259">
        <v>0.27300000000000002</v>
      </c>
      <c r="T259">
        <v>182</v>
      </c>
      <c r="U259">
        <v>0.95599999999999996</v>
      </c>
      <c r="V259">
        <v>88</v>
      </c>
      <c r="W259">
        <v>0.93899999999999995</v>
      </c>
      <c r="X259">
        <v>181</v>
      </c>
      <c r="Y259">
        <v>1.0329999999999999</v>
      </c>
      <c r="Z259">
        <v>169</v>
      </c>
      <c r="AA259">
        <v>1.0309999999999999</v>
      </c>
      <c r="AB259">
        <v>253</v>
      </c>
      <c r="AC259" s="21">
        <v>0.49399999999999999</v>
      </c>
      <c r="AD259" s="21">
        <v>0.47899999999999998</v>
      </c>
      <c r="AE259">
        <v>260</v>
      </c>
      <c r="AF259">
        <v>227</v>
      </c>
      <c r="AG259" s="21">
        <v>0.51700000000000002</v>
      </c>
      <c r="AH259">
        <v>47</v>
      </c>
      <c r="AI259">
        <v>22.623999999999999</v>
      </c>
      <c r="AJ259">
        <v>123</v>
      </c>
      <c r="AK259" s="21">
        <v>0.22800000000000001</v>
      </c>
      <c r="AL259">
        <v>194</v>
      </c>
      <c r="AM259" s="21">
        <v>0.31</v>
      </c>
      <c r="AN259">
        <v>227</v>
      </c>
      <c r="AO259" s="21">
        <v>0.32800000000000001</v>
      </c>
      <c r="AP259">
        <v>213</v>
      </c>
      <c r="AQ259" s="21">
        <v>0.34300000000000003</v>
      </c>
      <c r="AR259">
        <v>193</v>
      </c>
      <c r="AS259" s="21">
        <v>0.27600000000000002</v>
      </c>
      <c r="AT259">
        <v>204</v>
      </c>
      <c r="AU259" s="21">
        <v>0.71899999999999997</v>
      </c>
      <c r="AV259">
        <v>199</v>
      </c>
      <c r="AW259">
        <v>69.900000000000006</v>
      </c>
      <c r="AX259">
        <v>192</v>
      </c>
      <c r="AY259" s="21">
        <v>0.16900000000000001</v>
      </c>
      <c r="AZ259">
        <v>108</v>
      </c>
      <c r="BA259" s="21">
        <v>0.17799999999999999</v>
      </c>
    </row>
    <row r="260" spans="1:53" x14ac:dyDescent="0.25">
      <c r="A260" s="1" t="s">
        <v>578</v>
      </c>
      <c r="B260">
        <v>259</v>
      </c>
      <c r="C260">
        <v>-5.4</v>
      </c>
      <c r="D260">
        <v>270</v>
      </c>
      <c r="E260">
        <v>-5.2</v>
      </c>
      <c r="F260">
        <v>263</v>
      </c>
      <c r="G260">
        <v>-4.4000000000000004</v>
      </c>
      <c r="H260">
        <v>264</v>
      </c>
      <c r="I260">
        <v>-4.5</v>
      </c>
      <c r="J260">
        <v>64</v>
      </c>
      <c r="K260">
        <v>1.7</v>
      </c>
      <c r="L260">
        <v>98</v>
      </c>
      <c r="M260">
        <v>9.5</v>
      </c>
      <c r="N260">
        <v>261</v>
      </c>
      <c r="O260">
        <v>1.002</v>
      </c>
      <c r="P260">
        <v>92</v>
      </c>
      <c r="Q260">
        <v>0.995</v>
      </c>
      <c r="R260">
        <v>77</v>
      </c>
      <c r="S260">
        <v>0.625</v>
      </c>
      <c r="T260">
        <v>159</v>
      </c>
      <c r="U260">
        <v>0.95899999999999996</v>
      </c>
      <c r="V260">
        <v>182</v>
      </c>
      <c r="W260">
        <v>0.95699999999999996</v>
      </c>
      <c r="X260">
        <v>242</v>
      </c>
      <c r="Y260">
        <v>1.01</v>
      </c>
      <c r="Z260">
        <v>182</v>
      </c>
      <c r="AA260">
        <v>1.0389999999999999</v>
      </c>
      <c r="AB260">
        <v>186</v>
      </c>
      <c r="AC260" s="21">
        <v>0.50600000000000001</v>
      </c>
      <c r="AD260" s="21">
        <v>0.49299999999999999</v>
      </c>
      <c r="AE260">
        <v>190</v>
      </c>
      <c r="AF260">
        <v>137</v>
      </c>
      <c r="AG260" s="21">
        <v>0.501</v>
      </c>
      <c r="AH260">
        <v>353</v>
      </c>
      <c r="AI260">
        <v>14.709</v>
      </c>
      <c r="AJ260">
        <v>353</v>
      </c>
      <c r="AK260" s="21">
        <v>0.30199999999999999</v>
      </c>
      <c r="AL260">
        <v>32</v>
      </c>
      <c r="AM260" s="21">
        <v>0.38600000000000001</v>
      </c>
      <c r="AN260">
        <v>144</v>
      </c>
      <c r="AO260" s="21">
        <v>0.34499999999999997</v>
      </c>
      <c r="AP260">
        <v>88</v>
      </c>
      <c r="AQ260" s="21">
        <v>0.32300000000000001</v>
      </c>
      <c r="AR260">
        <v>98</v>
      </c>
      <c r="AS260" s="21">
        <v>0.307</v>
      </c>
      <c r="AT260">
        <v>304</v>
      </c>
      <c r="AU260" s="21">
        <v>0.69399999999999995</v>
      </c>
      <c r="AV260">
        <v>41</v>
      </c>
      <c r="AW260">
        <v>73.3</v>
      </c>
      <c r="AX260">
        <v>293</v>
      </c>
      <c r="AY260" s="21">
        <v>0.184</v>
      </c>
      <c r="AZ260">
        <v>102</v>
      </c>
      <c r="BA260" s="21">
        <v>0.17799999999999999</v>
      </c>
    </row>
    <row r="261" spans="1:53" x14ac:dyDescent="0.25">
      <c r="A261" s="1" t="s">
        <v>579</v>
      </c>
      <c r="B261">
        <v>260</v>
      </c>
      <c r="C261">
        <v>-5.5</v>
      </c>
      <c r="D261">
        <v>165</v>
      </c>
      <c r="E261">
        <v>0.3</v>
      </c>
      <c r="F261">
        <v>178</v>
      </c>
      <c r="G261">
        <v>-2.5</v>
      </c>
      <c r="H261">
        <v>149</v>
      </c>
      <c r="I261">
        <v>-1.2</v>
      </c>
      <c r="J261">
        <v>254</v>
      </c>
      <c r="K261">
        <v>-1</v>
      </c>
      <c r="L261">
        <v>119</v>
      </c>
      <c r="M261">
        <v>9.6999999999999993</v>
      </c>
      <c r="N261">
        <v>361</v>
      </c>
      <c r="O261">
        <v>0.71899999999999997</v>
      </c>
      <c r="P261">
        <v>307</v>
      </c>
      <c r="Q261">
        <v>1.3460000000000001</v>
      </c>
      <c r="R261">
        <v>158</v>
      </c>
      <c r="S261">
        <v>0.5</v>
      </c>
      <c r="T261">
        <v>272</v>
      </c>
      <c r="U261">
        <v>0.93500000000000005</v>
      </c>
      <c r="V261">
        <v>307</v>
      </c>
      <c r="W261">
        <v>0.97899999999999998</v>
      </c>
      <c r="X261">
        <v>204</v>
      </c>
      <c r="Y261">
        <v>1.026</v>
      </c>
      <c r="Z261">
        <v>300</v>
      </c>
      <c r="AA261">
        <v>1.087</v>
      </c>
      <c r="AB261">
        <v>118</v>
      </c>
      <c r="AC261" s="21">
        <v>0.51900000000000002</v>
      </c>
      <c r="AD261" s="21">
        <v>0.51</v>
      </c>
      <c r="AE261">
        <v>98</v>
      </c>
      <c r="AF261">
        <v>241</v>
      </c>
      <c r="AG261" s="21">
        <v>0.52</v>
      </c>
      <c r="AH261">
        <v>163</v>
      </c>
      <c r="AI261">
        <v>19.963999999999999</v>
      </c>
      <c r="AJ261">
        <v>310</v>
      </c>
      <c r="AK261" s="21">
        <v>0.27600000000000002</v>
      </c>
      <c r="AL261">
        <v>325</v>
      </c>
      <c r="AM261" s="21">
        <v>0.254</v>
      </c>
      <c r="AN261">
        <v>215</v>
      </c>
      <c r="AO261" s="21">
        <v>0.33</v>
      </c>
      <c r="AP261">
        <v>93</v>
      </c>
      <c r="AQ261" s="21">
        <v>0.32300000000000001</v>
      </c>
      <c r="AR261">
        <v>77</v>
      </c>
      <c r="AS261" s="21">
        <v>0.318</v>
      </c>
      <c r="AT261">
        <v>198</v>
      </c>
      <c r="AU261" s="21">
        <v>0.72099999999999997</v>
      </c>
      <c r="AV261">
        <v>87</v>
      </c>
      <c r="AW261">
        <v>71.900000000000006</v>
      </c>
      <c r="AX261">
        <v>348</v>
      </c>
      <c r="AY261" s="21">
        <v>0.20300000000000001</v>
      </c>
      <c r="AZ261">
        <v>325</v>
      </c>
      <c r="BA261" s="21">
        <v>0.14399999999999999</v>
      </c>
    </row>
    <row r="262" spans="1:53" x14ac:dyDescent="0.25">
      <c r="A262" s="1" t="s">
        <v>580</v>
      </c>
      <c r="B262">
        <v>261</v>
      </c>
      <c r="C262">
        <v>-5.6</v>
      </c>
      <c r="D262">
        <v>222</v>
      </c>
      <c r="E262">
        <v>-1.8</v>
      </c>
      <c r="F262">
        <v>325</v>
      </c>
      <c r="G262">
        <v>-6.8</v>
      </c>
      <c r="H262">
        <v>357</v>
      </c>
      <c r="I262">
        <v>-9.9</v>
      </c>
      <c r="J262">
        <v>257</v>
      </c>
      <c r="K262">
        <v>-1</v>
      </c>
      <c r="L262">
        <v>28</v>
      </c>
      <c r="M262">
        <v>8.4</v>
      </c>
      <c r="N262">
        <v>251</v>
      </c>
      <c r="O262">
        <v>1.0149999999999999</v>
      </c>
      <c r="P262">
        <v>139</v>
      </c>
      <c r="Q262">
        <v>1.0669999999999999</v>
      </c>
      <c r="R262">
        <v>304</v>
      </c>
      <c r="S262">
        <v>0.3</v>
      </c>
      <c r="T262">
        <v>96</v>
      </c>
      <c r="U262">
        <v>0.97099999999999997</v>
      </c>
      <c r="V262">
        <v>176</v>
      </c>
      <c r="W262">
        <v>0.95599999999999996</v>
      </c>
      <c r="X262">
        <v>167</v>
      </c>
      <c r="Y262">
        <v>1.04</v>
      </c>
      <c r="Z262">
        <v>228</v>
      </c>
      <c r="AA262">
        <v>1.0549999999999999</v>
      </c>
      <c r="AB262">
        <v>153</v>
      </c>
      <c r="AC262" s="21">
        <v>0.51100000000000001</v>
      </c>
      <c r="AD262" s="21">
        <v>0.498</v>
      </c>
      <c r="AE262">
        <v>162</v>
      </c>
      <c r="AF262">
        <v>240</v>
      </c>
      <c r="AG262" s="21">
        <v>0.52</v>
      </c>
      <c r="AH262">
        <v>332</v>
      </c>
      <c r="AI262">
        <v>16.132999999999999</v>
      </c>
      <c r="AJ262">
        <v>226</v>
      </c>
      <c r="AK262" s="21">
        <v>0.253</v>
      </c>
      <c r="AL262">
        <v>160</v>
      </c>
      <c r="AM262" s="21">
        <v>0.32100000000000001</v>
      </c>
      <c r="AN262">
        <v>70</v>
      </c>
      <c r="AO262" s="21">
        <v>0.35799999999999998</v>
      </c>
      <c r="AP262">
        <v>326</v>
      </c>
      <c r="AQ262" s="21">
        <v>0.36399999999999999</v>
      </c>
      <c r="AR262">
        <v>68</v>
      </c>
      <c r="AS262" s="21">
        <v>0.32100000000000001</v>
      </c>
      <c r="AT262">
        <v>266</v>
      </c>
      <c r="AU262" s="21">
        <v>0.70599999999999996</v>
      </c>
      <c r="AV262">
        <v>334</v>
      </c>
      <c r="AW262">
        <v>66.900000000000006</v>
      </c>
      <c r="AX262">
        <v>223</v>
      </c>
      <c r="AY262" s="21">
        <v>0.17399999999999999</v>
      </c>
      <c r="AZ262">
        <v>160</v>
      </c>
      <c r="BA262" s="21">
        <v>0.17</v>
      </c>
    </row>
    <row r="263" spans="1:53" x14ac:dyDescent="0.25">
      <c r="A263" s="1" t="s">
        <v>233</v>
      </c>
      <c r="B263">
        <v>262</v>
      </c>
      <c r="C263">
        <v>-5.6</v>
      </c>
      <c r="D263">
        <v>228</v>
      </c>
      <c r="E263">
        <v>-2.1</v>
      </c>
      <c r="F263">
        <v>294</v>
      </c>
      <c r="G263">
        <v>-5.5</v>
      </c>
      <c r="H263">
        <v>291</v>
      </c>
      <c r="I263">
        <v>-5.5</v>
      </c>
      <c r="J263">
        <v>140</v>
      </c>
      <c r="K263">
        <v>0.7</v>
      </c>
      <c r="L263">
        <v>164</v>
      </c>
      <c r="M263">
        <v>10.199999999999999</v>
      </c>
      <c r="N263">
        <v>179</v>
      </c>
      <c r="O263">
        <v>1.131</v>
      </c>
      <c r="P263">
        <v>79</v>
      </c>
      <c r="Q263">
        <v>0.98599999999999999</v>
      </c>
      <c r="R263">
        <v>108</v>
      </c>
      <c r="S263">
        <v>0.58299999999999996</v>
      </c>
      <c r="T263">
        <v>57</v>
      </c>
      <c r="U263">
        <v>0.98499999999999999</v>
      </c>
      <c r="V263">
        <v>17</v>
      </c>
      <c r="W263">
        <v>0.90900000000000003</v>
      </c>
      <c r="X263">
        <v>169</v>
      </c>
      <c r="Y263">
        <v>1.0389999999999999</v>
      </c>
      <c r="Z263">
        <v>232</v>
      </c>
      <c r="AA263">
        <v>1.056</v>
      </c>
      <c r="AB263">
        <v>261</v>
      </c>
      <c r="AC263" s="21">
        <v>0.49299999999999999</v>
      </c>
      <c r="AD263" s="21">
        <v>0.499</v>
      </c>
      <c r="AE263">
        <v>157</v>
      </c>
      <c r="AF263">
        <v>343</v>
      </c>
      <c r="AG263" s="21">
        <v>0.54900000000000004</v>
      </c>
      <c r="AH263">
        <v>246</v>
      </c>
      <c r="AI263">
        <v>18.489999999999998</v>
      </c>
      <c r="AJ263">
        <v>188</v>
      </c>
      <c r="AK263" s="21">
        <v>0.24399999999999999</v>
      </c>
      <c r="AL263">
        <v>263</v>
      </c>
      <c r="AM263" s="21">
        <v>0.28499999999999998</v>
      </c>
      <c r="AN263">
        <v>283</v>
      </c>
      <c r="AO263" s="21">
        <v>0.317</v>
      </c>
      <c r="AP263">
        <v>286</v>
      </c>
      <c r="AQ263" s="21">
        <v>0.35599999999999998</v>
      </c>
      <c r="AR263">
        <v>128</v>
      </c>
      <c r="AS263" s="21">
        <v>0.29399999999999998</v>
      </c>
      <c r="AT263">
        <v>101</v>
      </c>
      <c r="AU263" s="21">
        <v>0.73899999999999999</v>
      </c>
      <c r="AV263">
        <v>146</v>
      </c>
      <c r="AW263">
        <v>70.8</v>
      </c>
      <c r="AX263">
        <v>71</v>
      </c>
      <c r="AY263" s="21">
        <v>0.153</v>
      </c>
      <c r="AZ263">
        <v>51</v>
      </c>
      <c r="BA263" s="21">
        <v>0.19400000000000001</v>
      </c>
    </row>
    <row r="264" spans="1:53" x14ac:dyDescent="0.25">
      <c r="A264" s="1" t="s">
        <v>581</v>
      </c>
      <c r="B264">
        <v>263</v>
      </c>
      <c r="C264">
        <v>-5.7</v>
      </c>
      <c r="D264">
        <v>83</v>
      </c>
      <c r="E264">
        <v>8.6</v>
      </c>
      <c r="F264">
        <v>305</v>
      </c>
      <c r="G264">
        <v>-6</v>
      </c>
      <c r="H264">
        <v>348</v>
      </c>
      <c r="I264">
        <v>-8.9</v>
      </c>
      <c r="J264">
        <v>172</v>
      </c>
      <c r="K264">
        <v>0.2</v>
      </c>
      <c r="L264">
        <v>309</v>
      </c>
      <c r="M264">
        <v>11.6</v>
      </c>
      <c r="N264">
        <v>171</v>
      </c>
      <c r="O264">
        <v>1.145</v>
      </c>
      <c r="P264">
        <v>190</v>
      </c>
      <c r="Q264">
        <v>1.1479999999999999</v>
      </c>
      <c r="R264">
        <v>158</v>
      </c>
      <c r="S264">
        <v>0.5</v>
      </c>
      <c r="T264">
        <v>245</v>
      </c>
      <c r="U264">
        <v>0.94099999999999995</v>
      </c>
      <c r="V264">
        <v>267</v>
      </c>
      <c r="W264">
        <v>0.97</v>
      </c>
      <c r="X264">
        <v>217</v>
      </c>
      <c r="Y264">
        <v>1.02</v>
      </c>
      <c r="Z264">
        <v>233</v>
      </c>
      <c r="AA264">
        <v>1.0569999999999999</v>
      </c>
      <c r="AB264">
        <v>127</v>
      </c>
      <c r="AC264" s="21">
        <v>0.51700000000000002</v>
      </c>
      <c r="AD264" s="21">
        <v>0.52600000000000002</v>
      </c>
      <c r="AE264">
        <v>58</v>
      </c>
      <c r="AF264">
        <v>210</v>
      </c>
      <c r="AG264" s="21">
        <v>0.51400000000000001</v>
      </c>
      <c r="AH264">
        <v>361</v>
      </c>
      <c r="AI264">
        <v>13.81</v>
      </c>
      <c r="AJ264">
        <v>95</v>
      </c>
      <c r="AK264" s="21">
        <v>0.221</v>
      </c>
      <c r="AL264">
        <v>22</v>
      </c>
      <c r="AM264" s="21">
        <v>0.39100000000000001</v>
      </c>
      <c r="AN264">
        <v>271</v>
      </c>
      <c r="AO264" s="21">
        <v>0.318</v>
      </c>
      <c r="AP264">
        <v>160</v>
      </c>
      <c r="AQ264" s="21">
        <v>0.33400000000000002</v>
      </c>
      <c r="AR264">
        <v>156</v>
      </c>
      <c r="AS264" s="21">
        <v>0.28499999999999998</v>
      </c>
      <c r="AT264">
        <v>348</v>
      </c>
      <c r="AU264" s="21">
        <v>0.67200000000000004</v>
      </c>
      <c r="AV264">
        <v>57</v>
      </c>
      <c r="AW264">
        <v>72.7</v>
      </c>
      <c r="AX264">
        <v>303</v>
      </c>
      <c r="AY264" s="21">
        <v>0.187</v>
      </c>
      <c r="AZ264">
        <v>146</v>
      </c>
      <c r="BA264" s="21">
        <v>0.17199999999999999</v>
      </c>
    </row>
    <row r="265" spans="1:53" x14ac:dyDescent="0.25">
      <c r="A265" s="1" t="s">
        <v>582</v>
      </c>
      <c r="B265">
        <v>264</v>
      </c>
      <c r="C265">
        <v>-5.8</v>
      </c>
      <c r="D265">
        <v>173</v>
      </c>
      <c r="E265" t="s">
        <v>5</v>
      </c>
      <c r="F265">
        <v>293</v>
      </c>
      <c r="G265">
        <v>-5.4</v>
      </c>
      <c r="H265">
        <v>192</v>
      </c>
      <c r="I265">
        <v>-2.7</v>
      </c>
      <c r="J265">
        <v>287</v>
      </c>
      <c r="K265">
        <v>-1.6</v>
      </c>
      <c r="L265">
        <v>105</v>
      </c>
      <c r="M265">
        <v>9.6</v>
      </c>
      <c r="N265">
        <v>359</v>
      </c>
      <c r="O265">
        <v>0.72499999999999998</v>
      </c>
      <c r="P265">
        <v>93</v>
      </c>
      <c r="Q265">
        <v>0.997</v>
      </c>
      <c r="R265">
        <v>213</v>
      </c>
      <c r="S265">
        <v>0.45500000000000002</v>
      </c>
      <c r="T265">
        <v>133</v>
      </c>
      <c r="U265">
        <v>0.96499999999999997</v>
      </c>
      <c r="V265">
        <v>227</v>
      </c>
      <c r="W265">
        <v>0.96399999999999997</v>
      </c>
      <c r="X265">
        <v>326</v>
      </c>
      <c r="Y265">
        <v>0.95899999999999996</v>
      </c>
      <c r="Z265">
        <v>72</v>
      </c>
      <c r="AA265">
        <v>0.99099999999999999</v>
      </c>
      <c r="AB265">
        <v>357</v>
      </c>
      <c r="AC265" s="21">
        <v>0.44700000000000001</v>
      </c>
      <c r="AD265" s="21">
        <v>0.46899999999999997</v>
      </c>
      <c r="AE265">
        <v>291</v>
      </c>
      <c r="AF265">
        <v>33</v>
      </c>
      <c r="AG265" s="21">
        <v>0.47299999999999998</v>
      </c>
      <c r="AH265">
        <v>99</v>
      </c>
      <c r="AI265">
        <v>21.311</v>
      </c>
      <c r="AJ265">
        <v>286</v>
      </c>
      <c r="AK265" s="21">
        <v>0.26900000000000002</v>
      </c>
      <c r="AL265">
        <v>154</v>
      </c>
      <c r="AM265" s="21">
        <v>0.32400000000000001</v>
      </c>
      <c r="AN265">
        <v>259</v>
      </c>
      <c r="AO265" s="21">
        <v>0.32200000000000001</v>
      </c>
      <c r="AP265">
        <v>73</v>
      </c>
      <c r="AQ265" s="21">
        <v>0.31900000000000001</v>
      </c>
      <c r="AR265">
        <v>15</v>
      </c>
      <c r="AS265" s="21">
        <v>0.34799999999999998</v>
      </c>
      <c r="AT265">
        <v>232</v>
      </c>
      <c r="AU265" s="21">
        <v>0.71299999999999997</v>
      </c>
      <c r="AV265">
        <v>333</v>
      </c>
      <c r="AW265">
        <v>66.900000000000006</v>
      </c>
      <c r="AX265">
        <v>343</v>
      </c>
      <c r="AY265" s="21">
        <v>0.20100000000000001</v>
      </c>
      <c r="AZ265">
        <v>147</v>
      </c>
      <c r="BA265" s="21">
        <v>0.17199999999999999</v>
      </c>
    </row>
    <row r="266" spans="1:53" x14ac:dyDescent="0.25">
      <c r="A266" s="1" t="s">
        <v>152</v>
      </c>
      <c r="B266">
        <v>265</v>
      </c>
      <c r="C266">
        <v>-5.9</v>
      </c>
      <c r="D266">
        <v>143</v>
      </c>
      <c r="E266">
        <v>2.6</v>
      </c>
      <c r="F266">
        <v>229</v>
      </c>
      <c r="G266">
        <v>-3.7</v>
      </c>
      <c r="H266">
        <v>172</v>
      </c>
      <c r="I266">
        <v>-2.2000000000000002</v>
      </c>
      <c r="J266">
        <v>22</v>
      </c>
      <c r="K266">
        <v>2.7</v>
      </c>
      <c r="L266">
        <v>135</v>
      </c>
      <c r="M266">
        <v>9.9</v>
      </c>
      <c r="N266">
        <v>293</v>
      </c>
      <c r="O266">
        <v>0.94399999999999995</v>
      </c>
      <c r="P266">
        <v>148</v>
      </c>
      <c r="Q266">
        <v>1.077</v>
      </c>
      <c r="R266">
        <v>93</v>
      </c>
      <c r="S266">
        <v>0.6</v>
      </c>
      <c r="T266">
        <v>232</v>
      </c>
      <c r="U266">
        <v>0.94599999999999995</v>
      </c>
      <c r="V266">
        <v>284</v>
      </c>
      <c r="W266">
        <v>0.97299999999999998</v>
      </c>
      <c r="X266">
        <v>300</v>
      </c>
      <c r="Y266">
        <v>0.98199999999999998</v>
      </c>
      <c r="Z266">
        <v>177</v>
      </c>
      <c r="AA266">
        <v>1.0369999999999999</v>
      </c>
      <c r="AB266">
        <v>279</v>
      </c>
      <c r="AC266" s="21">
        <v>0.48699999999999999</v>
      </c>
      <c r="AD266" s="21">
        <v>0.47</v>
      </c>
      <c r="AE266">
        <v>288</v>
      </c>
      <c r="AF266">
        <v>126</v>
      </c>
      <c r="AG266" s="21">
        <v>0.498</v>
      </c>
      <c r="AH266">
        <v>248</v>
      </c>
      <c r="AI266">
        <v>18.43</v>
      </c>
      <c r="AJ266">
        <v>185</v>
      </c>
      <c r="AK266" s="21">
        <v>0.24399999999999999</v>
      </c>
      <c r="AL266">
        <v>187</v>
      </c>
      <c r="AM266" s="21">
        <v>0.314</v>
      </c>
      <c r="AN266">
        <v>101</v>
      </c>
      <c r="AO266" s="21">
        <v>0.35199999999999998</v>
      </c>
      <c r="AP266">
        <v>322</v>
      </c>
      <c r="AQ266" s="21">
        <v>0.36199999999999999</v>
      </c>
      <c r="AR266">
        <v>86</v>
      </c>
      <c r="AS266" s="21">
        <v>0.312</v>
      </c>
      <c r="AT266">
        <v>291</v>
      </c>
      <c r="AU266" s="21">
        <v>0.69799999999999995</v>
      </c>
      <c r="AV266">
        <v>344</v>
      </c>
      <c r="AW266">
        <v>66.599999999999994</v>
      </c>
      <c r="AX266">
        <v>337</v>
      </c>
      <c r="AY266" s="21">
        <v>0.19600000000000001</v>
      </c>
      <c r="AZ266">
        <v>168</v>
      </c>
      <c r="BA266" s="21">
        <v>0.16900000000000001</v>
      </c>
    </row>
    <row r="267" spans="1:53" x14ac:dyDescent="0.25">
      <c r="A267" s="1" t="s">
        <v>583</v>
      </c>
      <c r="B267">
        <v>266</v>
      </c>
      <c r="C267">
        <v>-6</v>
      </c>
      <c r="D267">
        <v>257</v>
      </c>
      <c r="E267">
        <v>-4</v>
      </c>
      <c r="F267">
        <v>296</v>
      </c>
      <c r="G267">
        <v>-5.6</v>
      </c>
      <c r="H267">
        <v>257</v>
      </c>
      <c r="I267">
        <v>-4.3</v>
      </c>
      <c r="J267">
        <v>265</v>
      </c>
      <c r="K267">
        <v>-1.1000000000000001</v>
      </c>
      <c r="L267">
        <v>63</v>
      </c>
      <c r="M267">
        <v>9.1</v>
      </c>
      <c r="N267">
        <v>75</v>
      </c>
      <c r="O267">
        <v>1.323</v>
      </c>
      <c r="P267">
        <v>293</v>
      </c>
      <c r="Q267">
        <v>1.3</v>
      </c>
      <c r="R267">
        <v>326</v>
      </c>
      <c r="S267">
        <v>0.25</v>
      </c>
      <c r="T267">
        <v>164</v>
      </c>
      <c r="U267">
        <v>0.95899999999999996</v>
      </c>
      <c r="V267">
        <v>156</v>
      </c>
      <c r="W267">
        <v>0.95299999999999996</v>
      </c>
      <c r="X267">
        <v>174</v>
      </c>
      <c r="Y267">
        <v>1.036</v>
      </c>
      <c r="Z267">
        <v>194</v>
      </c>
      <c r="AA267">
        <v>1.044</v>
      </c>
      <c r="AB267">
        <v>166</v>
      </c>
      <c r="AC267" s="21">
        <v>0.51</v>
      </c>
      <c r="AD267" s="21">
        <v>0.51200000000000001</v>
      </c>
      <c r="AE267">
        <v>93</v>
      </c>
      <c r="AF267">
        <v>234</v>
      </c>
      <c r="AG267" s="21">
        <v>0.51800000000000002</v>
      </c>
      <c r="AH267">
        <v>319</v>
      </c>
      <c r="AI267">
        <v>16.518000000000001</v>
      </c>
      <c r="AJ267">
        <v>42</v>
      </c>
      <c r="AK267" s="21">
        <v>0.20699999999999999</v>
      </c>
      <c r="AL267">
        <v>39</v>
      </c>
      <c r="AM267" s="21">
        <v>0.38100000000000001</v>
      </c>
      <c r="AN267">
        <v>139</v>
      </c>
      <c r="AO267" s="21">
        <v>0.34499999999999997</v>
      </c>
      <c r="AP267">
        <v>279</v>
      </c>
      <c r="AQ267" s="21">
        <v>0.35399999999999998</v>
      </c>
      <c r="AR267">
        <v>170</v>
      </c>
      <c r="AS267" s="21">
        <v>0.28100000000000003</v>
      </c>
      <c r="AT267">
        <v>175</v>
      </c>
      <c r="AU267" s="21">
        <v>0.72399999999999998</v>
      </c>
      <c r="AV267">
        <v>66</v>
      </c>
      <c r="AW267">
        <v>72.5</v>
      </c>
      <c r="AX267">
        <v>211</v>
      </c>
      <c r="AY267" s="21">
        <v>0.17199999999999999</v>
      </c>
      <c r="AZ267">
        <v>151</v>
      </c>
      <c r="BA267" s="21">
        <v>0.17100000000000001</v>
      </c>
    </row>
    <row r="268" spans="1:53" x14ac:dyDescent="0.25">
      <c r="A268" s="1" t="s">
        <v>584</v>
      </c>
      <c r="B268">
        <v>267</v>
      </c>
      <c r="C268">
        <v>-6</v>
      </c>
      <c r="D268">
        <v>177</v>
      </c>
      <c r="E268" t="s">
        <v>5</v>
      </c>
      <c r="F268">
        <v>285</v>
      </c>
      <c r="G268">
        <v>-5.2</v>
      </c>
      <c r="H268">
        <v>308</v>
      </c>
      <c r="I268">
        <v>-6.3</v>
      </c>
      <c r="J268">
        <v>211</v>
      </c>
      <c r="K268">
        <v>-0.5</v>
      </c>
      <c r="L268">
        <v>73</v>
      </c>
      <c r="M268">
        <v>9.3000000000000007</v>
      </c>
      <c r="N268">
        <v>350</v>
      </c>
      <c r="O268">
        <v>0.79800000000000004</v>
      </c>
      <c r="P268">
        <v>67</v>
      </c>
      <c r="Q268">
        <v>0.96899999999999997</v>
      </c>
      <c r="R268">
        <v>158</v>
      </c>
      <c r="S268">
        <v>0.5</v>
      </c>
      <c r="T268">
        <v>273</v>
      </c>
      <c r="U268">
        <v>0.93500000000000005</v>
      </c>
      <c r="V268">
        <v>103</v>
      </c>
      <c r="W268">
        <v>0.94399999999999995</v>
      </c>
      <c r="X268">
        <v>354</v>
      </c>
      <c r="Y268">
        <v>0.92100000000000004</v>
      </c>
      <c r="Z268">
        <v>68</v>
      </c>
      <c r="AA268">
        <v>0.98799999999999999</v>
      </c>
      <c r="AB268">
        <v>333</v>
      </c>
      <c r="AC268" s="21">
        <v>0.46700000000000003</v>
      </c>
      <c r="AD268" s="21">
        <v>0.45400000000000001</v>
      </c>
      <c r="AE268">
        <v>339</v>
      </c>
      <c r="AF268">
        <v>100</v>
      </c>
      <c r="AG268" s="21">
        <v>0.49199999999999999</v>
      </c>
      <c r="AH268">
        <v>320</v>
      </c>
      <c r="AI268">
        <v>16.481999999999999</v>
      </c>
      <c r="AJ268">
        <v>179</v>
      </c>
      <c r="AK268" s="21">
        <v>0.24299999999999999</v>
      </c>
      <c r="AL268">
        <v>282</v>
      </c>
      <c r="AM268" s="21">
        <v>0.28000000000000003</v>
      </c>
      <c r="AN268">
        <v>358</v>
      </c>
      <c r="AO268" s="21">
        <v>0.28699999999999998</v>
      </c>
      <c r="AP268">
        <v>217</v>
      </c>
      <c r="AQ268" s="21">
        <v>0.34399999999999997</v>
      </c>
      <c r="AR268">
        <v>47</v>
      </c>
      <c r="AS268" s="21">
        <v>0.32600000000000001</v>
      </c>
      <c r="AT268">
        <v>321</v>
      </c>
      <c r="AU268" s="21">
        <v>0.68799999999999994</v>
      </c>
      <c r="AV268">
        <v>187</v>
      </c>
      <c r="AW268">
        <v>70.2</v>
      </c>
      <c r="AX268">
        <v>361</v>
      </c>
      <c r="AY268" s="21">
        <v>0.216</v>
      </c>
      <c r="AZ268">
        <v>42</v>
      </c>
      <c r="BA268" s="21">
        <v>0.19600000000000001</v>
      </c>
    </row>
    <row r="269" spans="1:53" x14ac:dyDescent="0.25">
      <c r="A269" s="1" t="s">
        <v>446</v>
      </c>
      <c r="B269">
        <v>268</v>
      </c>
      <c r="C269">
        <v>-6</v>
      </c>
      <c r="D269">
        <v>246</v>
      </c>
      <c r="E269">
        <v>-3.3</v>
      </c>
      <c r="F269">
        <v>257</v>
      </c>
      <c r="G269">
        <v>-4.3</v>
      </c>
      <c r="H269">
        <v>256</v>
      </c>
      <c r="I269">
        <v>-4.3</v>
      </c>
      <c r="J269">
        <v>342</v>
      </c>
      <c r="K269">
        <v>-2.8</v>
      </c>
      <c r="L269">
        <v>246</v>
      </c>
      <c r="M269">
        <v>10.8</v>
      </c>
      <c r="N269">
        <v>310</v>
      </c>
      <c r="O269">
        <v>0.91600000000000004</v>
      </c>
      <c r="P269">
        <v>275</v>
      </c>
      <c r="Q269">
        <v>1.272</v>
      </c>
      <c r="R269">
        <v>279</v>
      </c>
      <c r="S269">
        <v>0.33300000000000002</v>
      </c>
      <c r="T269">
        <v>283</v>
      </c>
      <c r="U269">
        <v>0.93200000000000005</v>
      </c>
      <c r="V269">
        <v>248</v>
      </c>
      <c r="W269">
        <v>0.96699999999999997</v>
      </c>
      <c r="X269">
        <v>262</v>
      </c>
      <c r="Y269">
        <v>1.002</v>
      </c>
      <c r="Z269">
        <v>322</v>
      </c>
      <c r="AA269">
        <v>1.0980000000000001</v>
      </c>
      <c r="AB269">
        <v>214</v>
      </c>
      <c r="AC269" s="21">
        <v>0.502</v>
      </c>
      <c r="AD269" s="21">
        <v>0.49299999999999999</v>
      </c>
      <c r="AE269">
        <v>190</v>
      </c>
      <c r="AF269">
        <v>299</v>
      </c>
      <c r="AG269" s="21">
        <v>0.53400000000000003</v>
      </c>
      <c r="AH269">
        <v>183</v>
      </c>
      <c r="AI269">
        <v>19.581</v>
      </c>
      <c r="AJ269">
        <v>293</v>
      </c>
      <c r="AK269" s="21">
        <v>0.27</v>
      </c>
      <c r="AL269">
        <v>248</v>
      </c>
      <c r="AM269" s="21">
        <v>0.28899999999999998</v>
      </c>
      <c r="AN269">
        <v>248</v>
      </c>
      <c r="AO269" s="21">
        <v>0.32400000000000001</v>
      </c>
      <c r="AP269">
        <v>331</v>
      </c>
      <c r="AQ269" s="21">
        <v>0.36699999999999999</v>
      </c>
      <c r="AR269">
        <v>331</v>
      </c>
      <c r="AS269" s="21">
        <v>0.218</v>
      </c>
      <c r="AT269">
        <v>239</v>
      </c>
      <c r="AU269" s="21">
        <v>0.71199999999999997</v>
      </c>
      <c r="AV269">
        <v>299</v>
      </c>
      <c r="AW269">
        <v>67.7</v>
      </c>
      <c r="AX269">
        <v>165</v>
      </c>
      <c r="AY269" s="21">
        <v>0.16500000000000001</v>
      </c>
      <c r="AZ269">
        <v>227</v>
      </c>
      <c r="BA269" s="21">
        <v>0.161</v>
      </c>
    </row>
    <row r="270" spans="1:53" x14ac:dyDescent="0.25">
      <c r="A270" s="1" t="s">
        <v>454</v>
      </c>
      <c r="B270">
        <v>269</v>
      </c>
      <c r="C270">
        <v>-6.1</v>
      </c>
      <c r="D270">
        <v>239</v>
      </c>
      <c r="E270">
        <v>-2.9</v>
      </c>
      <c r="F270">
        <v>317</v>
      </c>
      <c r="G270">
        <v>-6.3</v>
      </c>
      <c r="H270">
        <v>343</v>
      </c>
      <c r="I270">
        <v>-8.1999999999999993</v>
      </c>
      <c r="J270">
        <v>294</v>
      </c>
      <c r="K270">
        <v>-1.7</v>
      </c>
      <c r="L270">
        <v>235</v>
      </c>
      <c r="M270">
        <v>10.7</v>
      </c>
      <c r="N270">
        <v>183</v>
      </c>
      <c r="O270">
        <v>1.127</v>
      </c>
      <c r="P270">
        <v>336</v>
      </c>
      <c r="Q270">
        <v>1.48</v>
      </c>
      <c r="R270">
        <v>158</v>
      </c>
      <c r="S270">
        <v>0.5</v>
      </c>
      <c r="T270">
        <v>238</v>
      </c>
      <c r="U270">
        <v>0.94399999999999995</v>
      </c>
      <c r="V270">
        <v>328</v>
      </c>
      <c r="W270">
        <v>0.98699999999999999</v>
      </c>
      <c r="X270">
        <v>145</v>
      </c>
      <c r="Y270">
        <v>1.052</v>
      </c>
      <c r="Z270">
        <v>273</v>
      </c>
      <c r="AA270">
        <v>1.073</v>
      </c>
      <c r="AB270">
        <v>145</v>
      </c>
      <c r="AC270" s="21">
        <v>0.51300000000000001</v>
      </c>
      <c r="AD270" s="21">
        <v>0.504</v>
      </c>
      <c r="AE270">
        <v>128</v>
      </c>
      <c r="AF270">
        <v>226</v>
      </c>
      <c r="AG270" s="21">
        <v>0.51600000000000001</v>
      </c>
      <c r="AH270">
        <v>13</v>
      </c>
      <c r="AI270">
        <v>24.545000000000002</v>
      </c>
      <c r="AJ270">
        <v>136</v>
      </c>
      <c r="AK270" s="21">
        <v>0.23300000000000001</v>
      </c>
      <c r="AL270">
        <v>255</v>
      </c>
      <c r="AM270" s="21">
        <v>0.28799999999999998</v>
      </c>
      <c r="AN270">
        <v>137</v>
      </c>
      <c r="AO270" s="21">
        <v>0.34599999999999997</v>
      </c>
      <c r="AP270">
        <v>56</v>
      </c>
      <c r="AQ270" s="21">
        <v>0.315</v>
      </c>
      <c r="AR270">
        <v>291</v>
      </c>
      <c r="AS270" s="21">
        <v>0.23899999999999999</v>
      </c>
      <c r="AT270">
        <v>176</v>
      </c>
      <c r="AU270" s="21">
        <v>0.72399999999999998</v>
      </c>
      <c r="AV270">
        <v>190</v>
      </c>
      <c r="AW270">
        <v>70.099999999999994</v>
      </c>
      <c r="AX270">
        <v>132</v>
      </c>
      <c r="AY270" s="21">
        <v>0.161</v>
      </c>
      <c r="AZ270">
        <v>339</v>
      </c>
      <c r="BA270" s="21">
        <v>0.13800000000000001</v>
      </c>
    </row>
    <row r="271" spans="1:53" x14ac:dyDescent="0.25">
      <c r="A271" s="1" t="s">
        <v>205</v>
      </c>
      <c r="B271">
        <v>270</v>
      </c>
      <c r="C271">
        <v>-6.1</v>
      </c>
      <c r="D271">
        <v>292</v>
      </c>
      <c r="E271">
        <v>-7.6</v>
      </c>
      <c r="F271">
        <v>301</v>
      </c>
      <c r="G271">
        <v>-5.9</v>
      </c>
      <c r="H271">
        <v>296</v>
      </c>
      <c r="I271">
        <v>-5.6</v>
      </c>
      <c r="J271">
        <v>290</v>
      </c>
      <c r="K271">
        <v>-1.7</v>
      </c>
      <c r="L271">
        <v>301</v>
      </c>
      <c r="M271">
        <v>11.4</v>
      </c>
      <c r="N271">
        <v>147</v>
      </c>
      <c r="O271">
        <v>1.1850000000000001</v>
      </c>
      <c r="P271">
        <v>133</v>
      </c>
      <c r="Q271">
        <v>1.0529999999999999</v>
      </c>
      <c r="R271">
        <v>264</v>
      </c>
      <c r="S271">
        <v>0.375</v>
      </c>
      <c r="T271">
        <v>54</v>
      </c>
      <c r="U271">
        <v>0.98499999999999999</v>
      </c>
      <c r="V271">
        <v>79</v>
      </c>
      <c r="W271">
        <v>0.93700000000000006</v>
      </c>
      <c r="X271">
        <v>208</v>
      </c>
      <c r="Y271">
        <v>1.024</v>
      </c>
      <c r="Z271">
        <v>187</v>
      </c>
      <c r="AA271">
        <v>1.0409999999999999</v>
      </c>
      <c r="AB271">
        <v>302</v>
      </c>
      <c r="AC271" s="21">
        <v>0.48</v>
      </c>
      <c r="AD271" s="21">
        <v>0.47699999999999998</v>
      </c>
      <c r="AE271">
        <v>266</v>
      </c>
      <c r="AF271">
        <v>260</v>
      </c>
      <c r="AG271" s="21">
        <v>0.52500000000000002</v>
      </c>
      <c r="AH271">
        <v>116</v>
      </c>
      <c r="AI271">
        <v>20.99</v>
      </c>
      <c r="AJ271">
        <v>195</v>
      </c>
      <c r="AK271" s="21">
        <v>0.245</v>
      </c>
      <c r="AL271">
        <v>196</v>
      </c>
      <c r="AM271" s="21">
        <v>0.307</v>
      </c>
      <c r="AN271">
        <v>199</v>
      </c>
      <c r="AO271" s="21">
        <v>0.33300000000000002</v>
      </c>
      <c r="AP271">
        <v>247</v>
      </c>
      <c r="AQ271" s="21">
        <v>0.34899999999999998</v>
      </c>
      <c r="AR271">
        <v>123</v>
      </c>
      <c r="AS271" s="21">
        <v>0.29599999999999999</v>
      </c>
      <c r="AT271">
        <v>64</v>
      </c>
      <c r="AU271" s="21">
        <v>0.749</v>
      </c>
      <c r="AV271">
        <v>268</v>
      </c>
      <c r="AW271">
        <v>68.400000000000006</v>
      </c>
      <c r="AX271">
        <v>110</v>
      </c>
      <c r="AY271" s="21">
        <v>0.158</v>
      </c>
      <c r="AZ271">
        <v>125</v>
      </c>
      <c r="BA271" s="21">
        <v>0.17399999999999999</v>
      </c>
    </row>
    <row r="272" spans="1:53" x14ac:dyDescent="0.25">
      <c r="A272" s="1" t="s">
        <v>247</v>
      </c>
      <c r="B272">
        <v>271</v>
      </c>
      <c r="C272">
        <v>-6.1</v>
      </c>
      <c r="D272">
        <v>216</v>
      </c>
      <c r="E272">
        <v>-1.4</v>
      </c>
      <c r="F272">
        <v>275</v>
      </c>
      <c r="G272">
        <v>-4.7</v>
      </c>
      <c r="H272">
        <v>22</v>
      </c>
      <c r="I272">
        <v>8.1999999999999993</v>
      </c>
      <c r="J272">
        <v>121</v>
      </c>
      <c r="K272">
        <v>0.9</v>
      </c>
      <c r="L272">
        <v>274</v>
      </c>
      <c r="M272">
        <v>11.1</v>
      </c>
      <c r="N272">
        <v>324</v>
      </c>
      <c r="O272">
        <v>0.88500000000000001</v>
      </c>
      <c r="P272">
        <v>226</v>
      </c>
      <c r="Q272">
        <v>1.1950000000000001</v>
      </c>
      <c r="R272">
        <v>239</v>
      </c>
      <c r="S272">
        <v>0.42899999999999999</v>
      </c>
      <c r="T272">
        <v>248</v>
      </c>
      <c r="U272">
        <v>0.94099999999999995</v>
      </c>
      <c r="V272">
        <v>225</v>
      </c>
      <c r="W272">
        <v>0.96399999999999997</v>
      </c>
      <c r="X272">
        <v>297</v>
      </c>
      <c r="Y272">
        <v>0.98599999999999999</v>
      </c>
      <c r="Z272">
        <v>163</v>
      </c>
      <c r="AA272">
        <v>1.0289999999999999</v>
      </c>
      <c r="AB272">
        <v>310</v>
      </c>
      <c r="AC272" s="21">
        <v>0.47699999999999998</v>
      </c>
      <c r="AD272" s="21">
        <v>0.45600000000000002</v>
      </c>
      <c r="AE272">
        <v>334</v>
      </c>
      <c r="AF272">
        <v>167</v>
      </c>
      <c r="AG272" s="21">
        <v>0.50600000000000001</v>
      </c>
      <c r="AH272">
        <v>70</v>
      </c>
      <c r="AI272">
        <v>21.962</v>
      </c>
      <c r="AJ272">
        <v>109</v>
      </c>
      <c r="AK272" s="21">
        <v>0.22600000000000001</v>
      </c>
      <c r="AL272">
        <v>307</v>
      </c>
      <c r="AM272" s="21">
        <v>0.26800000000000002</v>
      </c>
      <c r="AN272">
        <v>236</v>
      </c>
      <c r="AO272" s="21">
        <v>0.32600000000000001</v>
      </c>
      <c r="AP272">
        <v>196</v>
      </c>
      <c r="AQ272" s="21">
        <v>0.34100000000000003</v>
      </c>
      <c r="AR272">
        <v>155</v>
      </c>
      <c r="AS272" s="21">
        <v>0.28499999999999998</v>
      </c>
      <c r="AT272">
        <v>253</v>
      </c>
      <c r="AU272" s="21">
        <v>0.71</v>
      </c>
      <c r="AV272">
        <v>67</v>
      </c>
      <c r="AW272">
        <v>72.5</v>
      </c>
      <c r="AX272">
        <v>316</v>
      </c>
      <c r="AY272" s="21">
        <v>0.19</v>
      </c>
      <c r="AZ272">
        <v>155</v>
      </c>
      <c r="BA272" s="21">
        <v>0.17100000000000001</v>
      </c>
    </row>
    <row r="273" spans="1:53" x14ac:dyDescent="0.25">
      <c r="A273" s="1" t="s">
        <v>132</v>
      </c>
      <c r="B273">
        <v>272</v>
      </c>
      <c r="C273">
        <v>-6.1</v>
      </c>
      <c r="D273">
        <v>235</v>
      </c>
      <c r="E273">
        <v>-2.7</v>
      </c>
      <c r="F273">
        <v>182</v>
      </c>
      <c r="G273">
        <v>-2.6</v>
      </c>
      <c r="H273">
        <v>322</v>
      </c>
      <c r="I273">
        <v>-7</v>
      </c>
      <c r="J273">
        <v>320</v>
      </c>
      <c r="K273">
        <v>-2.1</v>
      </c>
      <c r="L273">
        <v>57</v>
      </c>
      <c r="M273">
        <v>9.1</v>
      </c>
      <c r="N273">
        <v>339</v>
      </c>
      <c r="O273">
        <v>0.83599999999999997</v>
      </c>
      <c r="P273">
        <v>81</v>
      </c>
      <c r="Q273">
        <v>0.98699999999999999</v>
      </c>
      <c r="R273">
        <v>304</v>
      </c>
      <c r="S273">
        <v>0.3</v>
      </c>
      <c r="T273">
        <v>277</v>
      </c>
      <c r="U273">
        <v>0.93400000000000005</v>
      </c>
      <c r="V273">
        <v>14</v>
      </c>
      <c r="W273">
        <v>0.90400000000000003</v>
      </c>
      <c r="X273">
        <v>345</v>
      </c>
      <c r="Y273">
        <v>0.93500000000000005</v>
      </c>
      <c r="Z273">
        <v>97</v>
      </c>
      <c r="AA273">
        <v>1.0049999999999999</v>
      </c>
      <c r="AB273">
        <v>338</v>
      </c>
      <c r="AC273" s="21">
        <v>0.46100000000000002</v>
      </c>
      <c r="AD273" s="21">
        <v>0.44600000000000001</v>
      </c>
      <c r="AE273">
        <v>346</v>
      </c>
      <c r="AF273">
        <v>224</v>
      </c>
      <c r="AG273" s="21">
        <v>0.51600000000000001</v>
      </c>
      <c r="AH273">
        <v>152</v>
      </c>
      <c r="AI273">
        <v>20.166</v>
      </c>
      <c r="AJ273">
        <v>267</v>
      </c>
      <c r="AK273" s="21">
        <v>0.26200000000000001</v>
      </c>
      <c r="AL273">
        <v>358</v>
      </c>
      <c r="AM273" s="21">
        <v>0.221</v>
      </c>
      <c r="AN273">
        <v>357</v>
      </c>
      <c r="AO273" s="21">
        <v>0.28799999999999998</v>
      </c>
      <c r="AP273">
        <v>147</v>
      </c>
      <c r="AQ273" s="21">
        <v>0.33300000000000002</v>
      </c>
      <c r="AR273">
        <v>163</v>
      </c>
      <c r="AS273" s="21">
        <v>0.28199999999999997</v>
      </c>
      <c r="AT273">
        <v>96</v>
      </c>
      <c r="AU273" s="21">
        <v>0.74</v>
      </c>
      <c r="AV273">
        <v>60</v>
      </c>
      <c r="AW273">
        <v>72.599999999999994</v>
      </c>
      <c r="AX273">
        <v>311</v>
      </c>
      <c r="AY273" s="21">
        <v>0.189</v>
      </c>
      <c r="AZ273">
        <v>35</v>
      </c>
      <c r="BA273" s="21">
        <v>0.19900000000000001</v>
      </c>
    </row>
    <row r="274" spans="1:53" x14ac:dyDescent="0.25">
      <c r="A274" s="1" t="s">
        <v>183</v>
      </c>
      <c r="B274">
        <v>273</v>
      </c>
      <c r="C274">
        <v>-6.1</v>
      </c>
      <c r="D274">
        <v>187</v>
      </c>
      <c r="E274" t="s">
        <v>5</v>
      </c>
      <c r="F274">
        <v>286</v>
      </c>
      <c r="G274">
        <v>-5.2</v>
      </c>
      <c r="H274">
        <v>347</v>
      </c>
      <c r="I274">
        <v>-8.8000000000000007</v>
      </c>
      <c r="J274">
        <v>217</v>
      </c>
      <c r="K274">
        <v>-0.5</v>
      </c>
      <c r="L274">
        <v>242</v>
      </c>
      <c r="M274">
        <v>10.8</v>
      </c>
      <c r="N274">
        <v>17</v>
      </c>
      <c r="O274">
        <v>1.5309999999999999</v>
      </c>
      <c r="P274">
        <v>355</v>
      </c>
      <c r="Q274">
        <v>1.613</v>
      </c>
      <c r="R274">
        <v>239</v>
      </c>
      <c r="S274">
        <v>0.42899999999999999</v>
      </c>
      <c r="T274">
        <v>198</v>
      </c>
      <c r="U274">
        <v>0.95199999999999996</v>
      </c>
      <c r="V274">
        <v>116</v>
      </c>
      <c r="W274">
        <v>0.94699999999999995</v>
      </c>
      <c r="X274">
        <v>125</v>
      </c>
      <c r="Y274">
        <v>1.0589999999999999</v>
      </c>
      <c r="Z274">
        <v>335</v>
      </c>
      <c r="AA274">
        <v>1.107</v>
      </c>
      <c r="AB274">
        <v>92</v>
      </c>
      <c r="AC274" s="21">
        <v>0.52600000000000002</v>
      </c>
      <c r="AD274" s="21">
        <v>0.50700000000000001</v>
      </c>
      <c r="AE274">
        <v>112</v>
      </c>
      <c r="AF274">
        <v>356</v>
      </c>
      <c r="AG274" s="21">
        <v>0.56399999999999995</v>
      </c>
      <c r="AH274">
        <v>266</v>
      </c>
      <c r="AI274">
        <v>17.922000000000001</v>
      </c>
      <c r="AJ274">
        <v>21</v>
      </c>
      <c r="AK274" s="21">
        <v>0.19400000000000001</v>
      </c>
      <c r="AL274">
        <v>189</v>
      </c>
      <c r="AM274" s="21">
        <v>0.313</v>
      </c>
      <c r="AN274">
        <v>179</v>
      </c>
      <c r="AO274" s="21">
        <v>0.33800000000000002</v>
      </c>
      <c r="AP274">
        <v>363</v>
      </c>
      <c r="AQ274" s="21">
        <v>0.39200000000000002</v>
      </c>
      <c r="AR274">
        <v>300</v>
      </c>
      <c r="AS274" s="21">
        <v>0.23599999999999999</v>
      </c>
      <c r="AT274">
        <v>73</v>
      </c>
      <c r="AU274" s="21">
        <v>0.746</v>
      </c>
      <c r="AV274">
        <v>53</v>
      </c>
      <c r="AW274">
        <v>72.8</v>
      </c>
      <c r="AX274">
        <v>57</v>
      </c>
      <c r="AY274" s="21">
        <v>0.151</v>
      </c>
      <c r="AZ274">
        <v>232</v>
      </c>
      <c r="BA274" s="21">
        <v>0.161</v>
      </c>
    </row>
    <row r="275" spans="1:53" x14ac:dyDescent="0.25">
      <c r="A275" s="1" t="s">
        <v>193</v>
      </c>
      <c r="B275">
        <v>274</v>
      </c>
      <c r="C275">
        <v>-6.4</v>
      </c>
      <c r="D275">
        <v>364</v>
      </c>
      <c r="E275">
        <v>-27.9</v>
      </c>
      <c r="F275">
        <v>267</v>
      </c>
      <c r="G275">
        <v>-4.5</v>
      </c>
      <c r="H275">
        <v>176</v>
      </c>
      <c r="I275">
        <v>-2.2999999999999998</v>
      </c>
      <c r="J275">
        <v>90</v>
      </c>
      <c r="K275">
        <v>1.3</v>
      </c>
      <c r="L275">
        <v>353</v>
      </c>
      <c r="M275">
        <v>12.9</v>
      </c>
      <c r="N275">
        <v>47</v>
      </c>
      <c r="O275">
        <v>1.4</v>
      </c>
      <c r="P275">
        <v>353</v>
      </c>
      <c r="Q275">
        <v>1.6020000000000001</v>
      </c>
      <c r="R275">
        <v>158</v>
      </c>
      <c r="S275">
        <v>0.5</v>
      </c>
      <c r="T275">
        <v>87</v>
      </c>
      <c r="U275">
        <v>0.97499999999999998</v>
      </c>
      <c r="V275">
        <v>356</v>
      </c>
      <c r="W275">
        <v>1.004</v>
      </c>
      <c r="X275">
        <v>86</v>
      </c>
      <c r="Y275">
        <v>1.077</v>
      </c>
      <c r="Z275">
        <v>352</v>
      </c>
      <c r="AA275">
        <v>1.1399999999999999</v>
      </c>
      <c r="AB275">
        <v>77</v>
      </c>
      <c r="AC275" s="21">
        <v>0.53200000000000003</v>
      </c>
      <c r="AD275" s="21">
        <v>0.52</v>
      </c>
      <c r="AE275">
        <v>68</v>
      </c>
      <c r="AF275">
        <v>320</v>
      </c>
      <c r="AG275" s="21">
        <v>0.54100000000000004</v>
      </c>
      <c r="AH275">
        <v>352</v>
      </c>
      <c r="AI275">
        <v>14.731</v>
      </c>
      <c r="AJ275">
        <v>151</v>
      </c>
      <c r="AK275" s="21">
        <v>0.23599999999999999</v>
      </c>
      <c r="AL275">
        <v>1</v>
      </c>
      <c r="AM275" s="21">
        <v>0.46</v>
      </c>
      <c r="AN275">
        <v>113</v>
      </c>
      <c r="AO275" s="21">
        <v>0.35</v>
      </c>
      <c r="AP275">
        <v>280</v>
      </c>
      <c r="AQ275" s="21">
        <v>0.35499999999999998</v>
      </c>
      <c r="AR275">
        <v>242</v>
      </c>
      <c r="AS275" s="21">
        <v>0.255</v>
      </c>
      <c r="AT275">
        <v>352</v>
      </c>
      <c r="AU275" s="21">
        <v>0.66900000000000004</v>
      </c>
      <c r="AV275">
        <v>8</v>
      </c>
      <c r="AW275">
        <v>75.099999999999994</v>
      </c>
      <c r="AX275">
        <v>37</v>
      </c>
      <c r="AY275" s="21">
        <v>0.14599999999999999</v>
      </c>
      <c r="AZ275">
        <v>326</v>
      </c>
      <c r="BA275" s="21">
        <v>0.14399999999999999</v>
      </c>
    </row>
    <row r="276" spans="1:53" x14ac:dyDescent="0.25">
      <c r="A276" s="1" t="s">
        <v>129</v>
      </c>
      <c r="B276">
        <v>275</v>
      </c>
      <c r="C276">
        <v>-6.4</v>
      </c>
      <c r="D276">
        <v>286</v>
      </c>
      <c r="E276">
        <v>-6.6</v>
      </c>
      <c r="F276">
        <v>107</v>
      </c>
      <c r="G276">
        <v>0.8</v>
      </c>
      <c r="H276">
        <v>218</v>
      </c>
      <c r="I276">
        <v>-3.4</v>
      </c>
      <c r="J276">
        <v>303</v>
      </c>
      <c r="K276">
        <v>-1.8</v>
      </c>
      <c r="L276">
        <v>2</v>
      </c>
      <c r="M276">
        <v>6.9</v>
      </c>
      <c r="N276">
        <v>340</v>
      </c>
      <c r="O276">
        <v>0.83499999999999996</v>
      </c>
      <c r="P276">
        <v>299</v>
      </c>
      <c r="Q276">
        <v>1.3280000000000001</v>
      </c>
      <c r="R276">
        <v>335</v>
      </c>
      <c r="S276">
        <v>0.222</v>
      </c>
      <c r="T276">
        <v>235</v>
      </c>
      <c r="U276">
        <v>0.94499999999999995</v>
      </c>
      <c r="V276">
        <v>277</v>
      </c>
      <c r="W276">
        <v>0.97199999999999998</v>
      </c>
      <c r="X276">
        <v>332</v>
      </c>
      <c r="Y276">
        <v>0.95099999999999996</v>
      </c>
      <c r="Z276">
        <v>298</v>
      </c>
      <c r="AA276">
        <v>1.0860000000000001</v>
      </c>
      <c r="AB276">
        <v>340</v>
      </c>
      <c r="AC276" s="21">
        <v>0.46100000000000002</v>
      </c>
      <c r="AD276" s="21">
        <v>0.46300000000000002</v>
      </c>
      <c r="AE276">
        <v>312</v>
      </c>
      <c r="AF276">
        <v>316</v>
      </c>
      <c r="AG276" s="21">
        <v>0.54</v>
      </c>
      <c r="AH276">
        <v>140</v>
      </c>
      <c r="AI276">
        <v>20.398</v>
      </c>
      <c r="AJ276">
        <v>10</v>
      </c>
      <c r="AK276" s="21">
        <v>0.17799999999999999</v>
      </c>
      <c r="AL276">
        <v>270</v>
      </c>
      <c r="AM276" s="21">
        <v>0.28199999999999997</v>
      </c>
      <c r="AN276">
        <v>302</v>
      </c>
      <c r="AO276" s="21">
        <v>0.313</v>
      </c>
      <c r="AP276">
        <v>204</v>
      </c>
      <c r="AQ276" s="21">
        <v>0.34200000000000003</v>
      </c>
      <c r="AR276">
        <v>261</v>
      </c>
      <c r="AS276" s="21">
        <v>0.249</v>
      </c>
      <c r="AT276">
        <v>349</v>
      </c>
      <c r="AU276" s="21">
        <v>0.67100000000000004</v>
      </c>
      <c r="AV276">
        <v>20</v>
      </c>
      <c r="AW276">
        <v>74.3</v>
      </c>
      <c r="AX276">
        <v>220</v>
      </c>
      <c r="AY276" s="21">
        <v>0.17299999999999999</v>
      </c>
      <c r="AZ276">
        <v>119</v>
      </c>
      <c r="BA276" s="21">
        <v>0.17599999999999999</v>
      </c>
    </row>
    <row r="277" spans="1:53" x14ac:dyDescent="0.25">
      <c r="A277" s="1" t="s">
        <v>585</v>
      </c>
      <c r="B277">
        <v>276</v>
      </c>
      <c r="C277">
        <v>-6.5</v>
      </c>
      <c r="D277">
        <v>176</v>
      </c>
      <c r="E277" t="s">
        <v>5</v>
      </c>
      <c r="F277">
        <v>315</v>
      </c>
      <c r="G277">
        <v>-6.3</v>
      </c>
      <c r="H277">
        <v>331</v>
      </c>
      <c r="I277">
        <v>-7.5</v>
      </c>
      <c r="J277">
        <v>340</v>
      </c>
      <c r="K277">
        <v>-2.7</v>
      </c>
      <c r="L277">
        <v>355</v>
      </c>
      <c r="M277">
        <v>12.9</v>
      </c>
      <c r="N277">
        <v>125</v>
      </c>
      <c r="O277">
        <v>1.2250000000000001</v>
      </c>
      <c r="P277">
        <v>176</v>
      </c>
      <c r="Q277">
        <v>1.1259999999999999</v>
      </c>
      <c r="R277">
        <v>271</v>
      </c>
      <c r="S277">
        <v>0.36399999999999999</v>
      </c>
      <c r="T277">
        <v>332</v>
      </c>
      <c r="U277">
        <v>0.91700000000000004</v>
      </c>
      <c r="V277">
        <v>280</v>
      </c>
      <c r="W277">
        <v>0.97199999999999998</v>
      </c>
      <c r="X277">
        <v>140</v>
      </c>
      <c r="Y277">
        <v>1.0529999999999999</v>
      </c>
      <c r="Z277">
        <v>324</v>
      </c>
      <c r="AA277">
        <v>1.099</v>
      </c>
      <c r="AB277">
        <v>34</v>
      </c>
      <c r="AC277" s="21">
        <v>0.55200000000000005</v>
      </c>
      <c r="AD277" s="21">
        <v>0.55000000000000004</v>
      </c>
      <c r="AE277">
        <v>16</v>
      </c>
      <c r="AF277">
        <v>318</v>
      </c>
      <c r="AG277" s="21">
        <v>0.54100000000000004</v>
      </c>
      <c r="AH277">
        <v>284</v>
      </c>
      <c r="AI277">
        <v>17.576000000000001</v>
      </c>
      <c r="AJ277">
        <v>54</v>
      </c>
      <c r="AK277" s="21">
        <v>0.21</v>
      </c>
      <c r="AL277">
        <v>119</v>
      </c>
      <c r="AM277" s="21">
        <v>0.33300000000000002</v>
      </c>
      <c r="AN277">
        <v>11</v>
      </c>
      <c r="AO277" s="21">
        <v>0.38400000000000001</v>
      </c>
      <c r="AP277">
        <v>302</v>
      </c>
      <c r="AQ277" s="21">
        <v>0.35799999999999998</v>
      </c>
      <c r="AR277">
        <v>361</v>
      </c>
      <c r="AS277" s="21">
        <v>0.17399999999999999</v>
      </c>
      <c r="AT277">
        <v>330</v>
      </c>
      <c r="AU277" s="21">
        <v>0.68300000000000005</v>
      </c>
      <c r="AV277">
        <v>39</v>
      </c>
      <c r="AW277">
        <v>73.400000000000006</v>
      </c>
      <c r="AX277">
        <v>102</v>
      </c>
      <c r="AY277" s="21">
        <v>0.156</v>
      </c>
      <c r="AZ277">
        <v>152</v>
      </c>
      <c r="BA277" s="21">
        <v>0.17100000000000001</v>
      </c>
    </row>
    <row r="278" spans="1:53" x14ac:dyDescent="0.25">
      <c r="A278" s="1" t="s">
        <v>123</v>
      </c>
      <c r="B278">
        <v>277</v>
      </c>
      <c r="C278">
        <v>-6.6</v>
      </c>
      <c r="D278">
        <v>323</v>
      </c>
      <c r="E278">
        <v>-13.1</v>
      </c>
      <c r="F278">
        <v>249</v>
      </c>
      <c r="G278">
        <v>-4</v>
      </c>
      <c r="H278">
        <v>246</v>
      </c>
      <c r="I278">
        <v>-4</v>
      </c>
      <c r="J278">
        <v>142</v>
      </c>
      <c r="K278">
        <v>0.6</v>
      </c>
      <c r="L278">
        <v>83</v>
      </c>
      <c r="M278">
        <v>9.4</v>
      </c>
      <c r="N278">
        <v>272</v>
      </c>
      <c r="O278">
        <v>0.98699999999999999</v>
      </c>
      <c r="P278">
        <v>323</v>
      </c>
      <c r="Q278">
        <v>1.41</v>
      </c>
      <c r="R278">
        <v>142</v>
      </c>
      <c r="S278">
        <v>0.54600000000000004</v>
      </c>
      <c r="T278">
        <v>237</v>
      </c>
      <c r="U278">
        <v>0.94399999999999995</v>
      </c>
      <c r="V278">
        <v>321</v>
      </c>
      <c r="W278">
        <v>0.98399999999999999</v>
      </c>
      <c r="X278">
        <v>147</v>
      </c>
      <c r="Y278">
        <v>1.0509999999999999</v>
      </c>
      <c r="Z278">
        <v>341</v>
      </c>
      <c r="AA278">
        <v>1.117</v>
      </c>
      <c r="AB278">
        <v>121</v>
      </c>
      <c r="AC278" s="21">
        <v>0.51800000000000002</v>
      </c>
      <c r="AD278" s="21">
        <v>0.52100000000000002</v>
      </c>
      <c r="AE278">
        <v>62</v>
      </c>
      <c r="AF278">
        <v>317</v>
      </c>
      <c r="AG278" s="21">
        <v>0.54</v>
      </c>
      <c r="AH278">
        <v>121</v>
      </c>
      <c r="AI278">
        <v>20.835000000000001</v>
      </c>
      <c r="AJ278">
        <v>280</v>
      </c>
      <c r="AK278" s="21">
        <v>0.26500000000000001</v>
      </c>
      <c r="AL278">
        <v>30</v>
      </c>
      <c r="AM278" s="21">
        <v>0.38700000000000001</v>
      </c>
      <c r="AN278">
        <v>128</v>
      </c>
      <c r="AO278" s="21">
        <v>0.34699999999999998</v>
      </c>
      <c r="AP278">
        <v>250</v>
      </c>
      <c r="AQ278" s="21">
        <v>0.34899999999999998</v>
      </c>
      <c r="AR278">
        <v>218</v>
      </c>
      <c r="AS278" s="21">
        <v>0.26700000000000002</v>
      </c>
      <c r="AT278">
        <v>283</v>
      </c>
      <c r="AU278" s="21">
        <v>0.7</v>
      </c>
      <c r="AV278">
        <v>260</v>
      </c>
      <c r="AW278">
        <v>68.599999999999994</v>
      </c>
      <c r="AX278">
        <v>226</v>
      </c>
      <c r="AY278" s="21">
        <v>0.17399999999999999</v>
      </c>
      <c r="AZ278">
        <v>316</v>
      </c>
      <c r="BA278" s="21">
        <v>0.14699999999999999</v>
      </c>
    </row>
    <row r="279" spans="1:53" x14ac:dyDescent="0.25">
      <c r="A279" s="1" t="s">
        <v>210</v>
      </c>
      <c r="B279">
        <v>278</v>
      </c>
      <c r="C279">
        <v>-6.6</v>
      </c>
      <c r="D279">
        <v>301</v>
      </c>
      <c r="E279">
        <v>-9.1999999999999993</v>
      </c>
      <c r="F279">
        <v>232</v>
      </c>
      <c r="G279">
        <v>-3.7</v>
      </c>
      <c r="H279">
        <v>259</v>
      </c>
      <c r="I279">
        <v>-4.4000000000000004</v>
      </c>
      <c r="J279">
        <v>246</v>
      </c>
      <c r="K279">
        <v>-0.9</v>
      </c>
      <c r="L279">
        <v>225</v>
      </c>
      <c r="M279">
        <v>10.6</v>
      </c>
      <c r="N279">
        <v>227</v>
      </c>
      <c r="O279">
        <v>1.0369999999999999</v>
      </c>
      <c r="P279">
        <v>300</v>
      </c>
      <c r="Q279">
        <v>1.329</v>
      </c>
      <c r="R279">
        <v>158</v>
      </c>
      <c r="S279">
        <v>0.5</v>
      </c>
      <c r="T279">
        <v>32</v>
      </c>
      <c r="U279">
        <v>0.997</v>
      </c>
      <c r="V279">
        <v>261</v>
      </c>
      <c r="W279">
        <v>0.96899999999999997</v>
      </c>
      <c r="X279">
        <v>116</v>
      </c>
      <c r="Y279">
        <v>1.0640000000000001</v>
      </c>
      <c r="Z279">
        <v>355</v>
      </c>
      <c r="AA279">
        <v>1.1459999999999999</v>
      </c>
      <c r="AB279">
        <v>245</v>
      </c>
      <c r="AC279" s="21">
        <v>0.497</v>
      </c>
      <c r="AD279" s="21">
        <v>0.47699999999999998</v>
      </c>
      <c r="AE279">
        <v>266</v>
      </c>
      <c r="AF279">
        <v>358</v>
      </c>
      <c r="AG279" s="21">
        <v>0.56499999999999995</v>
      </c>
      <c r="AH279">
        <v>142</v>
      </c>
      <c r="AI279">
        <v>20.364999999999998</v>
      </c>
      <c r="AJ279">
        <v>197</v>
      </c>
      <c r="AK279" s="21">
        <v>0.246</v>
      </c>
      <c r="AL279">
        <v>172</v>
      </c>
      <c r="AM279" s="21">
        <v>0.317</v>
      </c>
      <c r="AN279">
        <v>244</v>
      </c>
      <c r="AO279" s="21">
        <v>0.32500000000000001</v>
      </c>
      <c r="AP279">
        <v>342</v>
      </c>
      <c r="AQ279" s="21">
        <v>0.371</v>
      </c>
      <c r="AR279">
        <v>53</v>
      </c>
      <c r="AS279" s="21">
        <v>0.32500000000000001</v>
      </c>
      <c r="AT279">
        <v>187</v>
      </c>
      <c r="AU279" s="21">
        <v>0.72299999999999998</v>
      </c>
      <c r="AV279">
        <v>104</v>
      </c>
      <c r="AW279">
        <v>71.7</v>
      </c>
      <c r="AX279">
        <v>147</v>
      </c>
      <c r="AY279" s="21">
        <v>0.16300000000000001</v>
      </c>
      <c r="AZ279">
        <v>314</v>
      </c>
      <c r="BA279" s="21">
        <v>0.14699999999999999</v>
      </c>
    </row>
    <row r="280" spans="1:53" x14ac:dyDescent="0.25">
      <c r="A280" s="1" t="s">
        <v>201</v>
      </c>
      <c r="B280">
        <v>279</v>
      </c>
      <c r="C280">
        <v>-6.6</v>
      </c>
      <c r="D280">
        <v>248</v>
      </c>
      <c r="E280">
        <v>-3.4</v>
      </c>
      <c r="F280">
        <v>327</v>
      </c>
      <c r="G280">
        <v>-6.8</v>
      </c>
      <c r="H280">
        <v>142</v>
      </c>
      <c r="I280">
        <v>-1</v>
      </c>
      <c r="J280">
        <v>63</v>
      </c>
      <c r="K280">
        <v>1.7</v>
      </c>
      <c r="L280">
        <v>71</v>
      </c>
      <c r="M280">
        <v>9.3000000000000007</v>
      </c>
      <c r="N280">
        <v>114</v>
      </c>
      <c r="O280">
        <v>1.2410000000000001</v>
      </c>
      <c r="P280">
        <v>66</v>
      </c>
      <c r="Q280">
        <v>0.96699999999999997</v>
      </c>
      <c r="R280">
        <v>34</v>
      </c>
      <c r="S280">
        <v>0.73299999999999998</v>
      </c>
      <c r="T280">
        <v>24</v>
      </c>
      <c r="U280">
        <v>1.002</v>
      </c>
      <c r="V280">
        <v>120</v>
      </c>
      <c r="W280">
        <v>0.94699999999999995</v>
      </c>
      <c r="X280">
        <v>234</v>
      </c>
      <c r="Y280">
        <v>1.0129999999999999</v>
      </c>
      <c r="Z280">
        <v>130</v>
      </c>
      <c r="AA280">
        <v>1.0169999999999999</v>
      </c>
      <c r="AB280">
        <v>327</v>
      </c>
      <c r="AC280" s="21">
        <v>0.47099999999999997</v>
      </c>
      <c r="AD280" s="21">
        <v>0.45600000000000002</v>
      </c>
      <c r="AE280">
        <v>334</v>
      </c>
      <c r="AF280">
        <v>149</v>
      </c>
      <c r="AG280" s="21">
        <v>0.503</v>
      </c>
      <c r="AH280">
        <v>253</v>
      </c>
      <c r="AI280">
        <v>18.373999999999999</v>
      </c>
      <c r="AJ280">
        <v>306</v>
      </c>
      <c r="AK280" s="21">
        <v>0.27300000000000002</v>
      </c>
      <c r="AL280">
        <v>57</v>
      </c>
      <c r="AM280" s="21">
        <v>0.36799999999999999</v>
      </c>
      <c r="AN280">
        <v>222</v>
      </c>
      <c r="AO280" s="21">
        <v>0.32900000000000001</v>
      </c>
      <c r="AP280">
        <v>157</v>
      </c>
      <c r="AQ280" s="21">
        <v>0.33400000000000002</v>
      </c>
      <c r="AR280">
        <v>233</v>
      </c>
      <c r="AS280" s="21">
        <v>0.25800000000000001</v>
      </c>
      <c r="AT280">
        <v>243</v>
      </c>
      <c r="AU280" s="21">
        <v>0.71099999999999997</v>
      </c>
      <c r="AV280">
        <v>123</v>
      </c>
      <c r="AW280">
        <v>71.2</v>
      </c>
      <c r="AX280">
        <v>5</v>
      </c>
      <c r="AY280" s="21">
        <v>0.129</v>
      </c>
      <c r="AZ280">
        <v>94</v>
      </c>
      <c r="BA280" s="21">
        <v>0.18099999999999999</v>
      </c>
    </row>
    <row r="281" spans="1:53" x14ac:dyDescent="0.25">
      <c r="A281" s="1" t="s">
        <v>105</v>
      </c>
      <c r="B281">
        <v>280</v>
      </c>
      <c r="C281">
        <v>-6.7</v>
      </c>
      <c r="D281">
        <v>179</v>
      </c>
      <c r="E281" t="s">
        <v>5</v>
      </c>
      <c r="F281">
        <v>316</v>
      </c>
      <c r="G281">
        <v>-6.3</v>
      </c>
      <c r="H281">
        <v>298</v>
      </c>
      <c r="I281">
        <v>-5.7</v>
      </c>
      <c r="J281">
        <v>346</v>
      </c>
      <c r="K281">
        <v>-3</v>
      </c>
      <c r="L281">
        <v>267</v>
      </c>
      <c r="M281">
        <v>11</v>
      </c>
      <c r="N281">
        <v>84</v>
      </c>
      <c r="O281">
        <v>1.2989999999999999</v>
      </c>
      <c r="P281">
        <v>252</v>
      </c>
      <c r="Q281">
        <v>1.23</v>
      </c>
      <c r="R281">
        <v>326</v>
      </c>
      <c r="S281">
        <v>0.25</v>
      </c>
      <c r="T281">
        <v>240</v>
      </c>
      <c r="U281">
        <v>0.94299999999999995</v>
      </c>
      <c r="V281">
        <v>183</v>
      </c>
      <c r="W281">
        <v>0.95699999999999996</v>
      </c>
      <c r="X281">
        <v>271</v>
      </c>
      <c r="Y281">
        <v>0.998</v>
      </c>
      <c r="Z281">
        <v>154</v>
      </c>
      <c r="AA281">
        <v>1.0249999999999999</v>
      </c>
      <c r="AB281">
        <v>209</v>
      </c>
      <c r="AC281" s="21">
        <v>0.502</v>
      </c>
      <c r="AD281" s="21">
        <v>0.50900000000000001</v>
      </c>
      <c r="AE281">
        <v>103</v>
      </c>
      <c r="AF281">
        <v>151</v>
      </c>
      <c r="AG281" s="21">
        <v>0.504</v>
      </c>
      <c r="AH281">
        <v>290</v>
      </c>
      <c r="AI281">
        <v>17.344000000000001</v>
      </c>
      <c r="AJ281">
        <v>39</v>
      </c>
      <c r="AK281" s="21">
        <v>0.20399999999999999</v>
      </c>
      <c r="AL281">
        <v>108</v>
      </c>
      <c r="AM281" s="21">
        <v>0.33900000000000002</v>
      </c>
      <c r="AN281">
        <v>165</v>
      </c>
      <c r="AO281" s="21">
        <v>0.34</v>
      </c>
      <c r="AP281">
        <v>297</v>
      </c>
      <c r="AQ281" s="21">
        <v>0.35799999999999998</v>
      </c>
      <c r="AR281">
        <v>320</v>
      </c>
      <c r="AS281" s="21">
        <v>0.224</v>
      </c>
      <c r="AT281">
        <v>80</v>
      </c>
      <c r="AU281" s="21">
        <v>0.74399999999999999</v>
      </c>
      <c r="AV281">
        <v>290</v>
      </c>
      <c r="AW281">
        <v>67.900000000000006</v>
      </c>
      <c r="AX281">
        <v>149</v>
      </c>
      <c r="AY281" s="21">
        <v>0.16300000000000001</v>
      </c>
      <c r="AZ281">
        <v>201</v>
      </c>
      <c r="BA281" s="21">
        <v>0.16400000000000001</v>
      </c>
    </row>
    <row r="282" spans="1:53" x14ac:dyDescent="0.25">
      <c r="A282" s="1" t="s">
        <v>586</v>
      </c>
      <c r="B282">
        <v>281</v>
      </c>
      <c r="C282">
        <v>-6.8</v>
      </c>
      <c r="D282">
        <v>314</v>
      </c>
      <c r="E282">
        <v>-11.6</v>
      </c>
      <c r="F282">
        <v>333</v>
      </c>
      <c r="G282">
        <v>-7.2</v>
      </c>
      <c r="H282">
        <v>165</v>
      </c>
      <c r="I282">
        <v>-1.9</v>
      </c>
      <c r="J282">
        <v>281</v>
      </c>
      <c r="K282">
        <v>-1.5</v>
      </c>
      <c r="L282">
        <v>68</v>
      </c>
      <c r="M282">
        <v>9.1999999999999993</v>
      </c>
      <c r="N282">
        <v>305</v>
      </c>
      <c r="O282">
        <v>0.92200000000000004</v>
      </c>
      <c r="P282">
        <v>77</v>
      </c>
      <c r="Q282">
        <v>0.98499999999999999</v>
      </c>
      <c r="R282">
        <v>309</v>
      </c>
      <c r="S282">
        <v>0.28599999999999998</v>
      </c>
      <c r="T282">
        <v>252</v>
      </c>
      <c r="U282">
        <v>0.94</v>
      </c>
      <c r="V282">
        <v>218</v>
      </c>
      <c r="W282">
        <v>0.96299999999999997</v>
      </c>
      <c r="X282">
        <v>328</v>
      </c>
      <c r="Y282">
        <v>0.95599999999999996</v>
      </c>
      <c r="Z282">
        <v>57</v>
      </c>
      <c r="AA282">
        <v>0.98399999999999999</v>
      </c>
      <c r="AB282">
        <v>318</v>
      </c>
      <c r="AC282" s="21">
        <v>0.47499999999999998</v>
      </c>
      <c r="AD282" s="21">
        <v>0.48</v>
      </c>
      <c r="AE282">
        <v>257</v>
      </c>
      <c r="AF282">
        <v>36</v>
      </c>
      <c r="AG282" s="21">
        <v>0.47399999999999998</v>
      </c>
      <c r="AH282">
        <v>298</v>
      </c>
      <c r="AI282">
        <v>17.181999999999999</v>
      </c>
      <c r="AJ282">
        <v>245</v>
      </c>
      <c r="AK282" s="21">
        <v>0.25800000000000001</v>
      </c>
      <c r="AL282">
        <v>198</v>
      </c>
      <c r="AM282" s="21">
        <v>0.307</v>
      </c>
      <c r="AN282">
        <v>207</v>
      </c>
      <c r="AO282" s="21">
        <v>0.33100000000000002</v>
      </c>
      <c r="AP282">
        <v>102</v>
      </c>
      <c r="AQ282" s="21">
        <v>0.32600000000000001</v>
      </c>
      <c r="AR282">
        <v>140</v>
      </c>
      <c r="AS282" s="21">
        <v>0.28899999999999998</v>
      </c>
      <c r="AT282">
        <v>341</v>
      </c>
      <c r="AU282" s="21">
        <v>0.67500000000000004</v>
      </c>
      <c r="AV282">
        <v>31</v>
      </c>
      <c r="AW282">
        <v>73.7</v>
      </c>
      <c r="AX282">
        <v>327</v>
      </c>
      <c r="AY282" s="21">
        <v>0.193</v>
      </c>
      <c r="AZ282">
        <v>64</v>
      </c>
      <c r="BA282" s="21">
        <v>0.189</v>
      </c>
    </row>
    <row r="283" spans="1:53" x14ac:dyDescent="0.25">
      <c r="A283" s="1" t="s">
        <v>587</v>
      </c>
      <c r="B283">
        <v>282</v>
      </c>
      <c r="C283">
        <v>-7</v>
      </c>
      <c r="D283">
        <v>330</v>
      </c>
      <c r="E283">
        <v>-14</v>
      </c>
      <c r="F283">
        <v>174</v>
      </c>
      <c r="G283">
        <v>-2.2999999999999998</v>
      </c>
      <c r="H283">
        <v>195</v>
      </c>
      <c r="I283">
        <v>-2.8</v>
      </c>
      <c r="J283">
        <v>240</v>
      </c>
      <c r="K283">
        <v>-0.8</v>
      </c>
      <c r="L283">
        <v>297</v>
      </c>
      <c r="M283">
        <v>11.4</v>
      </c>
      <c r="N283">
        <v>116</v>
      </c>
      <c r="O283">
        <v>1.2370000000000001</v>
      </c>
      <c r="P283">
        <v>358</v>
      </c>
      <c r="Q283">
        <v>1.6539999999999999</v>
      </c>
      <c r="R283">
        <v>264</v>
      </c>
      <c r="S283">
        <v>0.375</v>
      </c>
      <c r="T283">
        <v>220</v>
      </c>
      <c r="U283">
        <v>0.94699999999999995</v>
      </c>
      <c r="V283">
        <v>346</v>
      </c>
      <c r="W283">
        <v>0.995</v>
      </c>
      <c r="X283">
        <v>273</v>
      </c>
      <c r="Y283">
        <v>0.997</v>
      </c>
      <c r="Z283">
        <v>338</v>
      </c>
      <c r="AA283">
        <v>1.109</v>
      </c>
      <c r="AB283">
        <v>252</v>
      </c>
      <c r="AC283" s="21">
        <v>0.49399999999999999</v>
      </c>
      <c r="AD283" s="21">
        <v>0.47199999999999998</v>
      </c>
      <c r="AE283">
        <v>283</v>
      </c>
      <c r="AF283">
        <v>277</v>
      </c>
      <c r="AG283" s="21">
        <v>0.53</v>
      </c>
      <c r="AH283">
        <v>303</v>
      </c>
      <c r="AI283">
        <v>16.888000000000002</v>
      </c>
      <c r="AJ283">
        <v>33</v>
      </c>
      <c r="AK283" s="21">
        <v>0.20200000000000001</v>
      </c>
      <c r="AL283">
        <v>64</v>
      </c>
      <c r="AM283" s="21">
        <v>0.36399999999999999</v>
      </c>
      <c r="AN283">
        <v>237</v>
      </c>
      <c r="AO283" s="21">
        <v>0.32600000000000001</v>
      </c>
      <c r="AP283">
        <v>348</v>
      </c>
      <c r="AQ283" s="21">
        <v>0.375</v>
      </c>
      <c r="AR283">
        <v>306</v>
      </c>
      <c r="AS283" s="21">
        <v>0.23400000000000001</v>
      </c>
      <c r="AT283">
        <v>196</v>
      </c>
      <c r="AU283" s="21">
        <v>0.72099999999999997</v>
      </c>
      <c r="AV283">
        <v>204</v>
      </c>
      <c r="AW283">
        <v>69.7</v>
      </c>
      <c r="AX283">
        <v>127</v>
      </c>
      <c r="AY283" s="21">
        <v>0.159</v>
      </c>
      <c r="AZ283">
        <v>351</v>
      </c>
      <c r="BA283" s="21">
        <v>0.13100000000000001</v>
      </c>
    </row>
    <row r="284" spans="1:53" x14ac:dyDescent="0.25">
      <c r="A284" s="1" t="s">
        <v>61</v>
      </c>
      <c r="B284">
        <v>283</v>
      </c>
      <c r="C284">
        <v>-7</v>
      </c>
      <c r="D284">
        <v>184</v>
      </c>
      <c r="E284" t="s">
        <v>5</v>
      </c>
      <c r="F284">
        <v>299</v>
      </c>
      <c r="G284">
        <v>-5.8</v>
      </c>
      <c r="H284">
        <v>261</v>
      </c>
      <c r="I284">
        <v>-4.4000000000000004</v>
      </c>
      <c r="J284">
        <v>334</v>
      </c>
      <c r="K284">
        <v>-2.6</v>
      </c>
      <c r="L284">
        <v>352</v>
      </c>
      <c r="M284">
        <v>12.8</v>
      </c>
      <c r="N284">
        <v>142</v>
      </c>
      <c r="O284">
        <v>1.2</v>
      </c>
      <c r="P284">
        <v>194</v>
      </c>
      <c r="Q284">
        <v>1.1519999999999999</v>
      </c>
      <c r="R284">
        <v>279</v>
      </c>
      <c r="S284">
        <v>0.33300000000000002</v>
      </c>
      <c r="T284">
        <v>303</v>
      </c>
      <c r="U284">
        <v>0.92900000000000005</v>
      </c>
      <c r="V284">
        <v>214</v>
      </c>
      <c r="W284">
        <v>0.96299999999999997</v>
      </c>
      <c r="X284">
        <v>270</v>
      </c>
      <c r="Y284">
        <v>0.998</v>
      </c>
      <c r="Z284">
        <v>213</v>
      </c>
      <c r="AA284">
        <v>1.05</v>
      </c>
      <c r="AB284">
        <v>156</v>
      </c>
      <c r="AC284" s="21">
        <v>0.51100000000000001</v>
      </c>
      <c r="AD284" s="21">
        <v>0.49299999999999999</v>
      </c>
      <c r="AE284">
        <v>190</v>
      </c>
      <c r="AF284">
        <v>172</v>
      </c>
      <c r="AG284" s="21">
        <v>0.50700000000000001</v>
      </c>
      <c r="AH284">
        <v>295</v>
      </c>
      <c r="AI284">
        <v>17.236999999999998</v>
      </c>
      <c r="AJ284">
        <v>217</v>
      </c>
      <c r="AK284" s="21">
        <v>0.251</v>
      </c>
      <c r="AL284">
        <v>133</v>
      </c>
      <c r="AM284" s="21">
        <v>0.32900000000000001</v>
      </c>
      <c r="AN284">
        <v>58</v>
      </c>
      <c r="AO284" s="21">
        <v>0.36399999999999999</v>
      </c>
      <c r="AP284">
        <v>43</v>
      </c>
      <c r="AQ284" s="21">
        <v>0.312</v>
      </c>
      <c r="AR284">
        <v>353</v>
      </c>
      <c r="AS284" s="21">
        <v>0.187</v>
      </c>
      <c r="AT284">
        <v>159</v>
      </c>
      <c r="AU284" s="21">
        <v>0.72799999999999998</v>
      </c>
      <c r="AV284">
        <v>249</v>
      </c>
      <c r="AW284">
        <v>68.8</v>
      </c>
      <c r="AX284">
        <v>76</v>
      </c>
      <c r="AY284" s="21">
        <v>0.153</v>
      </c>
      <c r="AZ284">
        <v>250</v>
      </c>
      <c r="BA284" s="21">
        <v>0.157</v>
      </c>
    </row>
    <row r="285" spans="1:53" x14ac:dyDescent="0.25">
      <c r="A285" s="1" t="s">
        <v>588</v>
      </c>
      <c r="B285">
        <v>284</v>
      </c>
      <c r="C285">
        <v>-7.1</v>
      </c>
      <c r="D285">
        <v>309</v>
      </c>
      <c r="E285">
        <v>-11</v>
      </c>
      <c r="F285">
        <v>281</v>
      </c>
      <c r="G285">
        <v>-5.0999999999999996</v>
      </c>
      <c r="H285">
        <v>59</v>
      </c>
      <c r="I285">
        <v>3.2</v>
      </c>
      <c r="J285">
        <v>17</v>
      </c>
      <c r="K285">
        <v>3</v>
      </c>
      <c r="L285">
        <v>58</v>
      </c>
      <c r="M285">
        <v>9.1</v>
      </c>
      <c r="N285">
        <v>291</v>
      </c>
      <c r="O285">
        <v>0.94399999999999995</v>
      </c>
      <c r="P285">
        <v>208</v>
      </c>
      <c r="Q285">
        <v>1.1719999999999999</v>
      </c>
      <c r="R285">
        <v>47</v>
      </c>
      <c r="S285">
        <v>0.7</v>
      </c>
      <c r="T285">
        <v>294</v>
      </c>
      <c r="U285">
        <v>0.93100000000000005</v>
      </c>
      <c r="V285">
        <v>256</v>
      </c>
      <c r="W285">
        <v>0.96799999999999997</v>
      </c>
      <c r="X285">
        <v>317</v>
      </c>
      <c r="Y285">
        <v>0.96499999999999997</v>
      </c>
      <c r="Z285">
        <v>119</v>
      </c>
      <c r="AA285">
        <v>1.014</v>
      </c>
      <c r="AB285">
        <v>297</v>
      </c>
      <c r="AC285" s="21">
        <v>0.48199999999999998</v>
      </c>
      <c r="AD285" s="21">
        <v>0.46500000000000002</v>
      </c>
      <c r="AE285">
        <v>306</v>
      </c>
      <c r="AF285">
        <v>82</v>
      </c>
      <c r="AG285" s="21">
        <v>0.48799999999999999</v>
      </c>
      <c r="AH285">
        <v>176</v>
      </c>
      <c r="AI285">
        <v>19.718</v>
      </c>
      <c r="AJ285">
        <v>161</v>
      </c>
      <c r="AK285" s="21">
        <v>0.24</v>
      </c>
      <c r="AL285">
        <v>309</v>
      </c>
      <c r="AM285" s="21">
        <v>0.26800000000000002</v>
      </c>
      <c r="AN285">
        <v>269</v>
      </c>
      <c r="AO285" s="21">
        <v>0.31900000000000001</v>
      </c>
      <c r="AP285">
        <v>46</v>
      </c>
      <c r="AQ285" s="21">
        <v>0.313</v>
      </c>
      <c r="AR285">
        <v>208</v>
      </c>
      <c r="AS285" s="21">
        <v>0.27100000000000002</v>
      </c>
      <c r="AT285">
        <v>221</v>
      </c>
      <c r="AU285" s="21">
        <v>0.71699999999999997</v>
      </c>
      <c r="AV285">
        <v>129</v>
      </c>
      <c r="AW285">
        <v>71.2</v>
      </c>
      <c r="AX285">
        <v>319</v>
      </c>
      <c r="AY285" s="21">
        <v>0.191</v>
      </c>
      <c r="AZ285">
        <v>203</v>
      </c>
      <c r="BA285" s="21">
        <v>0.16400000000000001</v>
      </c>
    </row>
    <row r="286" spans="1:53" x14ac:dyDescent="0.25">
      <c r="A286" s="1" t="s">
        <v>589</v>
      </c>
      <c r="B286">
        <v>285</v>
      </c>
      <c r="C286">
        <v>-7.2</v>
      </c>
      <c r="D286">
        <v>307</v>
      </c>
      <c r="E286">
        <v>-10.6</v>
      </c>
      <c r="F286">
        <v>309</v>
      </c>
      <c r="G286">
        <v>-6.1</v>
      </c>
      <c r="H286">
        <v>332</v>
      </c>
      <c r="I286">
        <v>-7.5</v>
      </c>
      <c r="J286">
        <v>232</v>
      </c>
      <c r="K286">
        <v>-0.7</v>
      </c>
      <c r="L286">
        <v>189</v>
      </c>
      <c r="M286">
        <v>10.4</v>
      </c>
      <c r="N286">
        <v>326</v>
      </c>
      <c r="O286">
        <v>0.88</v>
      </c>
      <c r="P286">
        <v>244</v>
      </c>
      <c r="Q286">
        <v>1.212</v>
      </c>
      <c r="R286">
        <v>130</v>
      </c>
      <c r="S286">
        <v>0.55600000000000005</v>
      </c>
      <c r="T286">
        <v>311</v>
      </c>
      <c r="U286">
        <v>0.92800000000000005</v>
      </c>
      <c r="V286">
        <v>59</v>
      </c>
      <c r="W286">
        <v>0.93</v>
      </c>
      <c r="X286">
        <v>265</v>
      </c>
      <c r="Y286">
        <v>1</v>
      </c>
      <c r="Z286">
        <v>205</v>
      </c>
      <c r="AA286">
        <v>1.048</v>
      </c>
      <c r="AB286">
        <v>232</v>
      </c>
      <c r="AC286" s="21">
        <v>0.499</v>
      </c>
      <c r="AD286" s="21">
        <v>0.495</v>
      </c>
      <c r="AE286">
        <v>180</v>
      </c>
      <c r="AF286">
        <v>266</v>
      </c>
      <c r="AG286" s="21">
        <v>0.52600000000000002</v>
      </c>
      <c r="AH286">
        <v>132</v>
      </c>
      <c r="AI286">
        <v>20.527999999999999</v>
      </c>
      <c r="AJ286">
        <v>96</v>
      </c>
      <c r="AK286" s="21">
        <v>0.222</v>
      </c>
      <c r="AL286">
        <v>167</v>
      </c>
      <c r="AM286" s="21">
        <v>0.318</v>
      </c>
      <c r="AN286">
        <v>192</v>
      </c>
      <c r="AO286" s="21">
        <v>0.33500000000000002</v>
      </c>
      <c r="AP286">
        <v>131</v>
      </c>
      <c r="AQ286" s="21">
        <v>0.33200000000000002</v>
      </c>
      <c r="AR286">
        <v>321</v>
      </c>
      <c r="AS286" s="21">
        <v>0.224</v>
      </c>
      <c r="AT286">
        <v>29</v>
      </c>
      <c r="AU286" s="21">
        <v>0.76400000000000001</v>
      </c>
      <c r="AV286">
        <v>85</v>
      </c>
      <c r="AW286">
        <v>71.900000000000006</v>
      </c>
      <c r="AX286">
        <v>201</v>
      </c>
      <c r="AY286" s="21">
        <v>0.17100000000000001</v>
      </c>
      <c r="AZ286">
        <v>173</v>
      </c>
      <c r="BA286" s="21">
        <v>0.16800000000000001</v>
      </c>
    </row>
    <row r="287" spans="1:53" x14ac:dyDescent="0.25">
      <c r="A287" s="1" t="s">
        <v>226</v>
      </c>
      <c r="B287">
        <v>286</v>
      </c>
      <c r="C287">
        <v>-7.2</v>
      </c>
      <c r="D287">
        <v>142</v>
      </c>
      <c r="E287">
        <v>2.6</v>
      </c>
      <c r="F287">
        <v>265</v>
      </c>
      <c r="G287">
        <v>-4.4000000000000004</v>
      </c>
      <c r="H287">
        <v>199</v>
      </c>
      <c r="I287">
        <v>-2.9</v>
      </c>
      <c r="J287">
        <v>116</v>
      </c>
      <c r="K287">
        <v>0.9</v>
      </c>
      <c r="L287">
        <v>328</v>
      </c>
      <c r="M287">
        <v>11.9</v>
      </c>
      <c r="N287">
        <v>119</v>
      </c>
      <c r="O287">
        <v>1.232</v>
      </c>
      <c r="P287">
        <v>225</v>
      </c>
      <c r="Q287">
        <v>1.1950000000000001</v>
      </c>
      <c r="R287">
        <v>309</v>
      </c>
      <c r="S287">
        <v>0.28599999999999998</v>
      </c>
      <c r="T287">
        <v>115</v>
      </c>
      <c r="U287">
        <v>0.96799999999999997</v>
      </c>
      <c r="V287">
        <v>192</v>
      </c>
      <c r="W287">
        <v>0.95799999999999996</v>
      </c>
      <c r="X287">
        <v>248</v>
      </c>
      <c r="Y287">
        <v>1.008</v>
      </c>
      <c r="Z287">
        <v>309</v>
      </c>
      <c r="AA287">
        <v>1.091</v>
      </c>
      <c r="AB287">
        <v>282</v>
      </c>
      <c r="AC287" s="21">
        <v>0.48699999999999999</v>
      </c>
      <c r="AD287" s="21">
        <v>0.46400000000000002</v>
      </c>
      <c r="AE287">
        <v>308</v>
      </c>
      <c r="AF287">
        <v>311</v>
      </c>
      <c r="AG287" s="21">
        <v>0.53800000000000003</v>
      </c>
      <c r="AH287">
        <v>283</v>
      </c>
      <c r="AI287">
        <v>17.628</v>
      </c>
      <c r="AJ287">
        <v>265</v>
      </c>
      <c r="AK287" s="21">
        <v>0.26100000000000001</v>
      </c>
      <c r="AL287">
        <v>90</v>
      </c>
      <c r="AM287" s="21">
        <v>0.34799999999999998</v>
      </c>
      <c r="AN287">
        <v>169</v>
      </c>
      <c r="AO287" s="21">
        <v>0.34</v>
      </c>
      <c r="AP287">
        <v>354</v>
      </c>
      <c r="AQ287" s="21">
        <v>0.379</v>
      </c>
      <c r="AR287">
        <v>310</v>
      </c>
      <c r="AS287" s="21">
        <v>0.23200000000000001</v>
      </c>
      <c r="AT287">
        <v>230</v>
      </c>
      <c r="AU287" s="21">
        <v>0.71399999999999997</v>
      </c>
      <c r="AV287">
        <v>215</v>
      </c>
      <c r="AW287">
        <v>69.5</v>
      </c>
      <c r="AX287">
        <v>28</v>
      </c>
      <c r="AY287" s="21">
        <v>0.14399999999999999</v>
      </c>
      <c r="AZ287">
        <v>195</v>
      </c>
      <c r="BA287" s="21">
        <v>0.16400000000000001</v>
      </c>
    </row>
    <row r="288" spans="1:53" x14ac:dyDescent="0.25">
      <c r="A288" s="1" t="s">
        <v>217</v>
      </c>
      <c r="B288">
        <v>287</v>
      </c>
      <c r="C288">
        <v>-7.3</v>
      </c>
      <c r="D288">
        <v>267</v>
      </c>
      <c r="E288">
        <v>-5.0999999999999996</v>
      </c>
      <c r="F288">
        <v>273</v>
      </c>
      <c r="G288">
        <v>-4.5999999999999996</v>
      </c>
      <c r="H288">
        <v>304</v>
      </c>
      <c r="I288">
        <v>-6.1</v>
      </c>
      <c r="J288">
        <v>113</v>
      </c>
      <c r="K288">
        <v>1</v>
      </c>
      <c r="L288">
        <v>254</v>
      </c>
      <c r="M288">
        <v>10.9</v>
      </c>
      <c r="N288">
        <v>308</v>
      </c>
      <c r="O288">
        <v>0.92</v>
      </c>
      <c r="P288">
        <v>228</v>
      </c>
      <c r="Q288">
        <v>1.196</v>
      </c>
      <c r="R288">
        <v>90</v>
      </c>
      <c r="S288">
        <v>0.61499999999999999</v>
      </c>
      <c r="T288">
        <v>13</v>
      </c>
      <c r="U288">
        <v>1.012</v>
      </c>
      <c r="V288">
        <v>312</v>
      </c>
      <c r="W288">
        <v>0.98099999999999998</v>
      </c>
      <c r="X288">
        <v>305</v>
      </c>
      <c r="Y288">
        <v>0.98</v>
      </c>
      <c r="Z288">
        <v>241</v>
      </c>
      <c r="AA288">
        <v>1.06</v>
      </c>
      <c r="AB288">
        <v>361</v>
      </c>
      <c r="AC288" s="21">
        <v>0.441</v>
      </c>
      <c r="AD288" s="21">
        <v>0.44600000000000001</v>
      </c>
      <c r="AE288">
        <v>346</v>
      </c>
      <c r="AF288">
        <v>197</v>
      </c>
      <c r="AG288" s="21">
        <v>0.51200000000000001</v>
      </c>
      <c r="AH288">
        <v>177</v>
      </c>
      <c r="AI288">
        <v>19.713999999999999</v>
      </c>
      <c r="AJ288">
        <v>240</v>
      </c>
      <c r="AK288" s="21">
        <v>0.25700000000000001</v>
      </c>
      <c r="AL288">
        <v>298</v>
      </c>
      <c r="AM288" s="21">
        <v>0.27500000000000002</v>
      </c>
      <c r="AN288">
        <v>360</v>
      </c>
      <c r="AO288" s="21">
        <v>0.28299999999999997</v>
      </c>
      <c r="AP288">
        <v>202</v>
      </c>
      <c r="AQ288" s="21">
        <v>0.34100000000000003</v>
      </c>
      <c r="AR288">
        <v>22</v>
      </c>
      <c r="AS288" s="21">
        <v>0.34200000000000003</v>
      </c>
      <c r="AT288">
        <v>286</v>
      </c>
      <c r="AU288" s="21">
        <v>0.69899999999999995</v>
      </c>
      <c r="AV288">
        <v>254</v>
      </c>
      <c r="AW288">
        <v>68.7</v>
      </c>
      <c r="AX288">
        <v>160</v>
      </c>
      <c r="AY288" s="21">
        <v>0.16500000000000001</v>
      </c>
      <c r="AZ288">
        <v>271</v>
      </c>
      <c r="BA288" s="21">
        <v>0.155</v>
      </c>
    </row>
    <row r="289" spans="1:53" x14ac:dyDescent="0.25">
      <c r="A289" s="1" t="s">
        <v>60</v>
      </c>
      <c r="B289">
        <v>288</v>
      </c>
      <c r="C289">
        <v>-7.3</v>
      </c>
      <c r="D289">
        <v>218</v>
      </c>
      <c r="E289">
        <v>-1.5</v>
      </c>
      <c r="F289">
        <v>320</v>
      </c>
      <c r="G289">
        <v>-6.4</v>
      </c>
      <c r="H289">
        <v>299</v>
      </c>
      <c r="I289">
        <v>-5.7</v>
      </c>
      <c r="J289">
        <v>95</v>
      </c>
      <c r="K289">
        <v>1.2</v>
      </c>
      <c r="L289">
        <v>185</v>
      </c>
      <c r="M289">
        <v>10.3</v>
      </c>
      <c r="N289">
        <v>331</v>
      </c>
      <c r="O289">
        <v>0.86</v>
      </c>
      <c r="P289">
        <v>212</v>
      </c>
      <c r="Q289">
        <v>1.1739999999999999</v>
      </c>
      <c r="R289">
        <v>72</v>
      </c>
      <c r="S289">
        <v>0.63600000000000001</v>
      </c>
      <c r="T289">
        <v>281</v>
      </c>
      <c r="U289">
        <v>0.93300000000000005</v>
      </c>
      <c r="V289">
        <v>55</v>
      </c>
      <c r="W289">
        <v>0.92900000000000005</v>
      </c>
      <c r="X289">
        <v>284</v>
      </c>
      <c r="Y289">
        <v>0.99099999999999999</v>
      </c>
      <c r="Z289">
        <v>166</v>
      </c>
      <c r="AA289">
        <v>1.03</v>
      </c>
      <c r="AB289">
        <v>213</v>
      </c>
      <c r="AC289" s="21">
        <v>0.502</v>
      </c>
      <c r="AD289" s="21">
        <v>0.45900000000000002</v>
      </c>
      <c r="AE289">
        <v>328</v>
      </c>
      <c r="AF289">
        <v>255</v>
      </c>
      <c r="AG289" s="21">
        <v>0.52400000000000002</v>
      </c>
      <c r="AH289">
        <v>305</v>
      </c>
      <c r="AI289">
        <v>16.846</v>
      </c>
      <c r="AJ289">
        <v>148</v>
      </c>
      <c r="AK289" s="21">
        <v>0.23499999999999999</v>
      </c>
      <c r="AL289">
        <v>101</v>
      </c>
      <c r="AM289" s="21">
        <v>0.34300000000000003</v>
      </c>
      <c r="AN289">
        <v>214</v>
      </c>
      <c r="AO289" s="21">
        <v>0.33</v>
      </c>
      <c r="AP289">
        <v>313</v>
      </c>
      <c r="AQ289" s="21">
        <v>0.36099999999999999</v>
      </c>
      <c r="AR289">
        <v>108</v>
      </c>
      <c r="AS289" s="21">
        <v>0.30299999999999999</v>
      </c>
      <c r="AT289">
        <v>4</v>
      </c>
      <c r="AU289" s="21">
        <v>0.78800000000000003</v>
      </c>
      <c r="AV289">
        <v>352</v>
      </c>
      <c r="AW289">
        <v>66.3</v>
      </c>
      <c r="AX289">
        <v>344</v>
      </c>
      <c r="AY289" s="21">
        <v>0.20100000000000001</v>
      </c>
      <c r="AZ289">
        <v>208</v>
      </c>
      <c r="BA289" s="21">
        <v>0.16300000000000001</v>
      </c>
    </row>
    <row r="290" spans="1:53" x14ac:dyDescent="0.25">
      <c r="A290" s="1" t="s">
        <v>449</v>
      </c>
      <c r="B290">
        <v>289</v>
      </c>
      <c r="C290">
        <v>-7.3</v>
      </c>
      <c r="D290">
        <v>302</v>
      </c>
      <c r="E290">
        <v>-9.4</v>
      </c>
      <c r="F290">
        <v>200</v>
      </c>
      <c r="G290">
        <v>-2.9</v>
      </c>
      <c r="H290">
        <v>229</v>
      </c>
      <c r="I290">
        <v>-3.6</v>
      </c>
      <c r="J290">
        <v>92</v>
      </c>
      <c r="K290">
        <v>1.2</v>
      </c>
      <c r="L290">
        <v>230</v>
      </c>
      <c r="M290">
        <v>10.7</v>
      </c>
      <c r="N290">
        <v>363</v>
      </c>
      <c r="O290">
        <v>0.56499999999999995</v>
      </c>
      <c r="P290">
        <v>27</v>
      </c>
      <c r="Q290">
        <v>0.877</v>
      </c>
      <c r="R290">
        <v>279</v>
      </c>
      <c r="S290">
        <v>0.33300000000000002</v>
      </c>
      <c r="T290">
        <v>363</v>
      </c>
      <c r="U290">
        <v>0.86099999999999999</v>
      </c>
      <c r="V290">
        <v>9</v>
      </c>
      <c r="W290">
        <v>0.89800000000000002</v>
      </c>
      <c r="X290">
        <v>362</v>
      </c>
      <c r="Y290">
        <v>0.876</v>
      </c>
      <c r="Z290">
        <v>147</v>
      </c>
      <c r="AA290">
        <v>1.0209999999999999</v>
      </c>
      <c r="AB290">
        <v>343</v>
      </c>
      <c r="AC290" s="21">
        <v>0.45900000000000002</v>
      </c>
      <c r="AD290" s="21">
        <v>0.44700000000000001</v>
      </c>
      <c r="AE290">
        <v>343</v>
      </c>
      <c r="AF290">
        <v>243</v>
      </c>
      <c r="AG290" s="21">
        <v>0.52100000000000002</v>
      </c>
      <c r="AH290">
        <v>80</v>
      </c>
      <c r="AI290">
        <v>21.71</v>
      </c>
      <c r="AJ290">
        <v>360</v>
      </c>
      <c r="AK290" s="21">
        <v>0.314</v>
      </c>
      <c r="AL290">
        <v>360</v>
      </c>
      <c r="AM290" s="21">
        <v>0.20300000000000001</v>
      </c>
      <c r="AN290">
        <v>256</v>
      </c>
      <c r="AO290" s="21">
        <v>0.32200000000000001</v>
      </c>
      <c r="AP290">
        <v>189</v>
      </c>
      <c r="AQ290" s="21">
        <v>0.33900000000000002</v>
      </c>
      <c r="AR290">
        <v>234</v>
      </c>
      <c r="AS290" s="21">
        <v>0.25800000000000001</v>
      </c>
      <c r="AT290">
        <v>329</v>
      </c>
      <c r="AU290" s="21">
        <v>0.68400000000000005</v>
      </c>
      <c r="AV290">
        <v>251</v>
      </c>
      <c r="AW290">
        <v>68.8</v>
      </c>
      <c r="AX290">
        <v>364</v>
      </c>
      <c r="AY290" s="21">
        <v>0.246</v>
      </c>
      <c r="AZ290">
        <v>2</v>
      </c>
      <c r="BA290" s="21">
        <v>0.22800000000000001</v>
      </c>
    </row>
    <row r="291" spans="1:53" x14ac:dyDescent="0.25">
      <c r="A291" s="1" t="s">
        <v>192</v>
      </c>
      <c r="B291">
        <v>290</v>
      </c>
      <c r="C291">
        <v>-7.5</v>
      </c>
      <c r="D291">
        <v>241</v>
      </c>
      <c r="E291">
        <v>-3.1</v>
      </c>
      <c r="F291">
        <v>261</v>
      </c>
      <c r="G291">
        <v>-4.4000000000000004</v>
      </c>
      <c r="H291">
        <v>270</v>
      </c>
      <c r="I291">
        <v>-4.8</v>
      </c>
      <c r="J291">
        <v>9</v>
      </c>
      <c r="K291">
        <v>3.6</v>
      </c>
      <c r="L291">
        <v>97</v>
      </c>
      <c r="M291">
        <v>9.5</v>
      </c>
      <c r="N291">
        <v>289</v>
      </c>
      <c r="O291">
        <v>0.95</v>
      </c>
      <c r="P291">
        <v>147</v>
      </c>
      <c r="Q291">
        <v>1.0760000000000001</v>
      </c>
      <c r="R291">
        <v>36</v>
      </c>
      <c r="S291">
        <v>0.72699999999999998</v>
      </c>
      <c r="T291">
        <v>282</v>
      </c>
      <c r="U291">
        <v>0.93300000000000005</v>
      </c>
      <c r="V291">
        <v>169</v>
      </c>
      <c r="W291">
        <v>0.95499999999999996</v>
      </c>
      <c r="X291">
        <v>160</v>
      </c>
      <c r="Y291">
        <v>1.0429999999999999</v>
      </c>
      <c r="Z291">
        <v>320</v>
      </c>
      <c r="AA291">
        <v>1.0980000000000001</v>
      </c>
      <c r="AB291">
        <v>99</v>
      </c>
      <c r="AC291" s="21">
        <v>0.52400000000000002</v>
      </c>
      <c r="AD291" s="21">
        <v>0.51100000000000001</v>
      </c>
      <c r="AE291">
        <v>95</v>
      </c>
      <c r="AF291">
        <v>307</v>
      </c>
      <c r="AG291" s="21">
        <v>0.53700000000000003</v>
      </c>
      <c r="AH291">
        <v>172</v>
      </c>
      <c r="AI291">
        <v>19.783999999999999</v>
      </c>
      <c r="AJ291">
        <v>308</v>
      </c>
      <c r="AK291" s="21">
        <v>0.27500000000000002</v>
      </c>
      <c r="AL291">
        <v>193</v>
      </c>
      <c r="AM291" s="21">
        <v>0.31</v>
      </c>
      <c r="AN291">
        <v>116</v>
      </c>
      <c r="AO291" s="21">
        <v>0.35</v>
      </c>
      <c r="AP291">
        <v>352</v>
      </c>
      <c r="AQ291" s="21">
        <v>0.377</v>
      </c>
      <c r="AR291">
        <v>215</v>
      </c>
      <c r="AS291" s="21">
        <v>0.26700000000000002</v>
      </c>
      <c r="AT291">
        <v>298</v>
      </c>
      <c r="AU291" s="21">
        <v>0.69599999999999995</v>
      </c>
      <c r="AV291">
        <v>182</v>
      </c>
      <c r="AW291">
        <v>70.3</v>
      </c>
      <c r="AX291">
        <v>289</v>
      </c>
      <c r="AY291" s="21">
        <v>0.183</v>
      </c>
      <c r="AZ291">
        <v>126</v>
      </c>
      <c r="BA291" s="21">
        <v>0.17399999999999999</v>
      </c>
    </row>
    <row r="292" spans="1:53" x14ac:dyDescent="0.25">
      <c r="A292" s="1" t="s">
        <v>202</v>
      </c>
      <c r="B292">
        <v>291</v>
      </c>
      <c r="C292">
        <v>-7.5</v>
      </c>
      <c r="D292">
        <v>296</v>
      </c>
      <c r="E292">
        <v>-8.3000000000000007</v>
      </c>
      <c r="F292">
        <v>334</v>
      </c>
      <c r="G292">
        <v>-7.2</v>
      </c>
      <c r="H292">
        <v>311</v>
      </c>
      <c r="I292">
        <v>-6.4</v>
      </c>
      <c r="J292">
        <v>318</v>
      </c>
      <c r="K292">
        <v>-2.1</v>
      </c>
      <c r="L292">
        <v>179</v>
      </c>
      <c r="M292">
        <v>10.3</v>
      </c>
      <c r="N292">
        <v>224</v>
      </c>
      <c r="O292">
        <v>1.0409999999999999</v>
      </c>
      <c r="P292">
        <v>35</v>
      </c>
      <c r="Q292">
        <v>0.91100000000000003</v>
      </c>
      <c r="R292">
        <v>211</v>
      </c>
      <c r="S292">
        <v>0.46700000000000003</v>
      </c>
      <c r="T292">
        <v>168</v>
      </c>
      <c r="U292">
        <v>0.95799999999999996</v>
      </c>
      <c r="V292">
        <v>101</v>
      </c>
      <c r="W292">
        <v>0.94299999999999995</v>
      </c>
      <c r="X292">
        <v>184</v>
      </c>
      <c r="Y292">
        <v>1.0329999999999999</v>
      </c>
      <c r="Z292">
        <v>326</v>
      </c>
      <c r="AA292">
        <v>1.101</v>
      </c>
      <c r="AB292">
        <v>219</v>
      </c>
      <c r="AC292" s="21">
        <v>0.501</v>
      </c>
      <c r="AD292" s="21">
        <v>0.48599999999999999</v>
      </c>
      <c r="AE292">
        <v>228</v>
      </c>
      <c r="AF292">
        <v>339</v>
      </c>
      <c r="AG292" s="21">
        <v>0.54800000000000004</v>
      </c>
      <c r="AH292">
        <v>52</v>
      </c>
      <c r="AI292">
        <v>22.483000000000001</v>
      </c>
      <c r="AJ292">
        <v>336</v>
      </c>
      <c r="AK292" s="21">
        <v>0.28699999999999998</v>
      </c>
      <c r="AL292">
        <v>306</v>
      </c>
      <c r="AM292" s="21">
        <v>0.26900000000000002</v>
      </c>
      <c r="AN292">
        <v>181</v>
      </c>
      <c r="AO292" s="21">
        <v>0.33700000000000002</v>
      </c>
      <c r="AP292">
        <v>113</v>
      </c>
      <c r="AQ292" s="21">
        <v>0.32700000000000001</v>
      </c>
      <c r="AR292">
        <v>48</v>
      </c>
      <c r="AS292" s="21">
        <v>0.32600000000000001</v>
      </c>
      <c r="AT292">
        <v>363</v>
      </c>
      <c r="AU292" s="21">
        <v>0.623</v>
      </c>
      <c r="AV292">
        <v>109</v>
      </c>
      <c r="AW292">
        <v>71.599999999999994</v>
      </c>
      <c r="AX292">
        <v>307</v>
      </c>
      <c r="AY292" s="21">
        <v>0.188</v>
      </c>
      <c r="AZ292">
        <v>22</v>
      </c>
      <c r="BA292" s="21">
        <v>0.20599999999999999</v>
      </c>
    </row>
    <row r="293" spans="1:53" x14ac:dyDescent="0.25">
      <c r="A293" s="1" t="s">
        <v>590</v>
      </c>
      <c r="B293">
        <v>292</v>
      </c>
      <c r="C293">
        <v>-7.6</v>
      </c>
      <c r="D293">
        <v>334</v>
      </c>
      <c r="E293">
        <v>-14.6</v>
      </c>
      <c r="F293">
        <v>228</v>
      </c>
      <c r="G293">
        <v>-3.6</v>
      </c>
      <c r="H293">
        <v>186</v>
      </c>
      <c r="I293">
        <v>-2.5</v>
      </c>
      <c r="J293">
        <v>268</v>
      </c>
      <c r="K293">
        <v>-1.2</v>
      </c>
      <c r="L293">
        <v>84</v>
      </c>
      <c r="M293">
        <v>9.4</v>
      </c>
      <c r="N293">
        <v>235</v>
      </c>
      <c r="O293">
        <v>1.0289999999999999</v>
      </c>
      <c r="P293">
        <v>166</v>
      </c>
      <c r="Q293">
        <v>1.1060000000000001</v>
      </c>
      <c r="R293">
        <v>158</v>
      </c>
      <c r="S293">
        <v>0.5</v>
      </c>
      <c r="T293">
        <v>322</v>
      </c>
      <c r="U293">
        <v>0.92200000000000004</v>
      </c>
      <c r="V293">
        <v>96</v>
      </c>
      <c r="W293">
        <v>0.94199999999999995</v>
      </c>
      <c r="X293">
        <v>260</v>
      </c>
      <c r="Y293">
        <v>1.004</v>
      </c>
      <c r="Z293">
        <v>328</v>
      </c>
      <c r="AA293">
        <v>1.101</v>
      </c>
      <c r="AB293">
        <v>167</v>
      </c>
      <c r="AC293" s="21">
        <v>0.50900000000000001</v>
      </c>
      <c r="AD293" s="21">
        <v>0.49</v>
      </c>
      <c r="AE293">
        <v>206</v>
      </c>
      <c r="AF293">
        <v>331</v>
      </c>
      <c r="AG293" s="21">
        <v>0.54400000000000004</v>
      </c>
      <c r="AH293">
        <v>206</v>
      </c>
      <c r="AI293">
        <v>19.149999999999999</v>
      </c>
      <c r="AJ293">
        <v>317</v>
      </c>
      <c r="AK293" s="21">
        <v>0.28100000000000003</v>
      </c>
      <c r="AL293">
        <v>249</v>
      </c>
      <c r="AM293" s="21">
        <v>0.28899999999999998</v>
      </c>
      <c r="AN293">
        <v>253</v>
      </c>
      <c r="AO293" s="21">
        <v>0.32300000000000001</v>
      </c>
      <c r="AP293">
        <v>338</v>
      </c>
      <c r="AQ293" s="21">
        <v>0.36899999999999999</v>
      </c>
      <c r="AR293">
        <v>268</v>
      </c>
      <c r="AS293" s="21">
        <v>0.247</v>
      </c>
      <c r="AT293">
        <v>326</v>
      </c>
      <c r="AU293" s="21">
        <v>0.68600000000000005</v>
      </c>
      <c r="AV293">
        <v>223</v>
      </c>
      <c r="AW293">
        <v>69.3</v>
      </c>
      <c r="AX293">
        <v>288</v>
      </c>
      <c r="AY293" s="21">
        <v>0.183</v>
      </c>
      <c r="AZ293">
        <v>75</v>
      </c>
      <c r="BA293" s="21">
        <v>0.186</v>
      </c>
    </row>
    <row r="294" spans="1:53" x14ac:dyDescent="0.25">
      <c r="A294" s="1" t="s">
        <v>186</v>
      </c>
      <c r="B294">
        <v>293</v>
      </c>
      <c r="C294">
        <v>-7.6</v>
      </c>
      <c r="D294">
        <v>336</v>
      </c>
      <c r="E294">
        <v>-15.3</v>
      </c>
      <c r="F294">
        <v>351</v>
      </c>
      <c r="G294">
        <v>-8.1999999999999993</v>
      </c>
      <c r="H294">
        <v>292</v>
      </c>
      <c r="I294">
        <v>-5.5</v>
      </c>
      <c r="J294">
        <v>201</v>
      </c>
      <c r="K294">
        <v>-0.2</v>
      </c>
      <c r="L294">
        <v>130</v>
      </c>
      <c r="M294">
        <v>9.8000000000000007</v>
      </c>
      <c r="N294">
        <v>346</v>
      </c>
      <c r="O294">
        <v>0.80100000000000005</v>
      </c>
      <c r="P294">
        <v>110</v>
      </c>
      <c r="Q294">
        <v>1.0129999999999999</v>
      </c>
      <c r="R294">
        <v>158</v>
      </c>
      <c r="S294">
        <v>0.5</v>
      </c>
      <c r="T294">
        <v>239</v>
      </c>
      <c r="U294">
        <v>0.94299999999999995</v>
      </c>
      <c r="V294">
        <v>25</v>
      </c>
      <c r="W294">
        <v>0.91800000000000004</v>
      </c>
      <c r="X294">
        <v>318</v>
      </c>
      <c r="Y294">
        <v>0.96399999999999997</v>
      </c>
      <c r="Z294">
        <v>48</v>
      </c>
      <c r="AA294">
        <v>0.97899999999999998</v>
      </c>
      <c r="AB294">
        <v>313</v>
      </c>
      <c r="AC294" s="21">
        <v>0.47699999999999998</v>
      </c>
      <c r="AD294" s="21">
        <v>0.46200000000000002</v>
      </c>
      <c r="AE294">
        <v>316</v>
      </c>
      <c r="AF294">
        <v>55</v>
      </c>
      <c r="AG294" s="21">
        <v>0.48</v>
      </c>
      <c r="AH294">
        <v>307</v>
      </c>
      <c r="AI294">
        <v>16.809000000000001</v>
      </c>
      <c r="AJ294">
        <v>350</v>
      </c>
      <c r="AK294" s="21">
        <v>0.29899999999999999</v>
      </c>
      <c r="AL294">
        <v>316</v>
      </c>
      <c r="AM294" s="21">
        <v>0.26300000000000001</v>
      </c>
      <c r="AN294">
        <v>340</v>
      </c>
      <c r="AO294" s="21">
        <v>0.30299999999999999</v>
      </c>
      <c r="AP294">
        <v>45</v>
      </c>
      <c r="AQ294" s="21">
        <v>0.312</v>
      </c>
      <c r="AR294">
        <v>99</v>
      </c>
      <c r="AS294" s="21">
        <v>0.307</v>
      </c>
      <c r="AT294">
        <v>43</v>
      </c>
      <c r="AU294" s="21">
        <v>0.754</v>
      </c>
      <c r="AV294">
        <v>289</v>
      </c>
      <c r="AW294">
        <v>67.900000000000006</v>
      </c>
      <c r="AX294">
        <v>335</v>
      </c>
      <c r="AY294" s="21">
        <v>0.19600000000000001</v>
      </c>
      <c r="AZ294">
        <v>66</v>
      </c>
      <c r="BA294" s="21">
        <v>0.188</v>
      </c>
    </row>
    <row r="295" spans="1:53" x14ac:dyDescent="0.25">
      <c r="A295" s="1" t="s">
        <v>146</v>
      </c>
      <c r="B295">
        <v>294</v>
      </c>
      <c r="C295">
        <v>-7.7</v>
      </c>
      <c r="D295">
        <v>337</v>
      </c>
      <c r="E295">
        <v>-15.8</v>
      </c>
      <c r="F295">
        <v>199</v>
      </c>
      <c r="G295">
        <v>-2.9</v>
      </c>
      <c r="H295">
        <v>312</v>
      </c>
      <c r="I295">
        <v>-6.4</v>
      </c>
      <c r="J295">
        <v>71</v>
      </c>
      <c r="K295">
        <v>1.7</v>
      </c>
      <c r="L295">
        <v>358</v>
      </c>
      <c r="M295">
        <v>13.2</v>
      </c>
      <c r="N295">
        <v>145</v>
      </c>
      <c r="O295">
        <v>1.19</v>
      </c>
      <c r="P295">
        <v>364</v>
      </c>
      <c r="Q295">
        <v>1.867</v>
      </c>
      <c r="R295">
        <v>158</v>
      </c>
      <c r="S295">
        <v>0.5</v>
      </c>
      <c r="T295">
        <v>334</v>
      </c>
      <c r="U295">
        <v>0.91600000000000004</v>
      </c>
      <c r="V295">
        <v>348</v>
      </c>
      <c r="W295">
        <v>0.996</v>
      </c>
      <c r="X295">
        <v>269</v>
      </c>
      <c r="Y295">
        <v>0.999</v>
      </c>
      <c r="Z295">
        <v>346</v>
      </c>
      <c r="AA295">
        <v>1.1299999999999999</v>
      </c>
      <c r="AB295">
        <v>216</v>
      </c>
      <c r="AC295" s="21">
        <v>0.501</v>
      </c>
      <c r="AD295" s="21">
        <v>0.505</v>
      </c>
      <c r="AE295">
        <v>123</v>
      </c>
      <c r="AF295">
        <v>335</v>
      </c>
      <c r="AG295" s="21">
        <v>0.54600000000000004</v>
      </c>
      <c r="AH295">
        <v>161</v>
      </c>
      <c r="AI295">
        <v>20.007000000000001</v>
      </c>
      <c r="AJ295">
        <v>9</v>
      </c>
      <c r="AK295" s="21">
        <v>0.17699999999999999</v>
      </c>
      <c r="AL295">
        <v>79</v>
      </c>
      <c r="AM295" s="21">
        <v>0.35099999999999998</v>
      </c>
      <c r="AN295">
        <v>183</v>
      </c>
      <c r="AO295" s="21">
        <v>0.33700000000000002</v>
      </c>
      <c r="AP295">
        <v>353</v>
      </c>
      <c r="AQ295" s="21">
        <v>0.378</v>
      </c>
      <c r="AR295">
        <v>341</v>
      </c>
      <c r="AS295" s="21">
        <v>0.20899999999999999</v>
      </c>
      <c r="AT295">
        <v>237</v>
      </c>
      <c r="AU295" s="21">
        <v>0.71199999999999997</v>
      </c>
      <c r="AV295">
        <v>95</v>
      </c>
      <c r="AW295">
        <v>71.8</v>
      </c>
      <c r="AX295">
        <v>237</v>
      </c>
      <c r="AY295" s="21">
        <v>0.17599999999999999</v>
      </c>
      <c r="AZ295">
        <v>354</v>
      </c>
      <c r="BA295" s="21">
        <v>0.129</v>
      </c>
    </row>
    <row r="296" spans="1:53" x14ac:dyDescent="0.25">
      <c r="A296" s="1" t="s">
        <v>591</v>
      </c>
      <c r="B296">
        <v>295</v>
      </c>
      <c r="C296">
        <v>-7.8</v>
      </c>
      <c r="D296">
        <v>327</v>
      </c>
      <c r="E296">
        <v>-13.7</v>
      </c>
      <c r="F296">
        <v>341</v>
      </c>
      <c r="G296">
        <v>-7.4</v>
      </c>
      <c r="H296">
        <v>316</v>
      </c>
      <c r="I296">
        <v>-6.7</v>
      </c>
      <c r="J296">
        <v>314</v>
      </c>
      <c r="K296">
        <v>-2</v>
      </c>
      <c r="L296">
        <v>227</v>
      </c>
      <c r="M296">
        <v>10.6</v>
      </c>
      <c r="N296">
        <v>315</v>
      </c>
      <c r="O296">
        <v>0.90800000000000003</v>
      </c>
      <c r="P296">
        <v>162</v>
      </c>
      <c r="Q296">
        <v>1.0980000000000001</v>
      </c>
      <c r="R296">
        <v>223</v>
      </c>
      <c r="S296">
        <v>0.44400000000000001</v>
      </c>
      <c r="T296">
        <v>114</v>
      </c>
      <c r="U296">
        <v>0.96799999999999997</v>
      </c>
      <c r="V296">
        <v>139</v>
      </c>
      <c r="W296">
        <v>0.95</v>
      </c>
      <c r="X296">
        <v>266</v>
      </c>
      <c r="Y296">
        <v>0.999</v>
      </c>
      <c r="Z296">
        <v>190</v>
      </c>
      <c r="AA296">
        <v>1.042</v>
      </c>
      <c r="AB296">
        <v>314</v>
      </c>
      <c r="AC296" s="21">
        <v>0.47599999999999998</v>
      </c>
      <c r="AD296" s="21">
        <v>0.48</v>
      </c>
      <c r="AE296">
        <v>257</v>
      </c>
      <c r="AF296">
        <v>250</v>
      </c>
      <c r="AG296" s="21">
        <v>0.52300000000000002</v>
      </c>
      <c r="AH296">
        <v>158</v>
      </c>
      <c r="AI296">
        <v>20.024999999999999</v>
      </c>
      <c r="AJ296">
        <v>174</v>
      </c>
      <c r="AK296" s="21">
        <v>0.24199999999999999</v>
      </c>
      <c r="AL296">
        <v>52</v>
      </c>
      <c r="AM296" s="21">
        <v>0.37</v>
      </c>
      <c r="AN296">
        <v>318</v>
      </c>
      <c r="AO296" s="21">
        <v>0.311</v>
      </c>
      <c r="AP296">
        <v>254</v>
      </c>
      <c r="AQ296" s="21">
        <v>0.35</v>
      </c>
      <c r="AR296">
        <v>54</v>
      </c>
      <c r="AS296" s="21">
        <v>0.32500000000000001</v>
      </c>
      <c r="AT296">
        <v>256</v>
      </c>
      <c r="AU296" s="21">
        <v>0.70899999999999996</v>
      </c>
      <c r="AV296">
        <v>183</v>
      </c>
      <c r="AW296">
        <v>70.2</v>
      </c>
      <c r="AX296">
        <v>315</v>
      </c>
      <c r="AY296" s="21">
        <v>0.19</v>
      </c>
      <c r="AZ296">
        <v>77</v>
      </c>
      <c r="BA296" s="21">
        <v>0.185</v>
      </c>
    </row>
    <row r="297" spans="1:53" x14ac:dyDescent="0.25">
      <c r="A297" s="1" t="s">
        <v>592</v>
      </c>
      <c r="B297">
        <v>296</v>
      </c>
      <c r="C297">
        <v>-7.9</v>
      </c>
      <c r="D297">
        <v>326</v>
      </c>
      <c r="E297">
        <v>-13.3</v>
      </c>
      <c r="F297">
        <v>255</v>
      </c>
      <c r="G297">
        <v>-4.3</v>
      </c>
      <c r="H297">
        <v>272</v>
      </c>
      <c r="I297">
        <v>-4.8</v>
      </c>
      <c r="J297">
        <v>260</v>
      </c>
      <c r="K297">
        <v>-1.1000000000000001</v>
      </c>
      <c r="L297">
        <v>37</v>
      </c>
      <c r="M297">
        <v>8.6999999999999993</v>
      </c>
      <c r="N297">
        <v>264</v>
      </c>
      <c r="O297">
        <v>0.998</v>
      </c>
      <c r="P297">
        <v>222</v>
      </c>
      <c r="Q297">
        <v>1.1850000000000001</v>
      </c>
      <c r="R297">
        <v>213</v>
      </c>
      <c r="S297">
        <v>0.45500000000000002</v>
      </c>
      <c r="T297">
        <v>330</v>
      </c>
      <c r="U297">
        <v>0.91800000000000004</v>
      </c>
      <c r="V297">
        <v>263</v>
      </c>
      <c r="W297">
        <v>0.97</v>
      </c>
      <c r="X297">
        <v>335</v>
      </c>
      <c r="Y297">
        <v>0.94799999999999995</v>
      </c>
      <c r="Z297">
        <v>179</v>
      </c>
      <c r="AA297">
        <v>1.0369999999999999</v>
      </c>
      <c r="AB297">
        <v>304</v>
      </c>
      <c r="AC297" s="21">
        <v>0.47899999999999998</v>
      </c>
      <c r="AD297" s="21">
        <v>0.46300000000000002</v>
      </c>
      <c r="AE297">
        <v>312</v>
      </c>
      <c r="AF297">
        <v>144</v>
      </c>
      <c r="AG297" s="21">
        <v>0.502</v>
      </c>
      <c r="AH297">
        <v>238</v>
      </c>
      <c r="AI297">
        <v>18.629000000000001</v>
      </c>
      <c r="AJ297">
        <v>258</v>
      </c>
      <c r="AK297" s="21">
        <v>0.25900000000000001</v>
      </c>
      <c r="AL297">
        <v>294</v>
      </c>
      <c r="AM297" s="21">
        <v>0.27700000000000002</v>
      </c>
      <c r="AN297">
        <v>345</v>
      </c>
      <c r="AO297" s="21">
        <v>0.29799999999999999</v>
      </c>
      <c r="AP297">
        <v>98</v>
      </c>
      <c r="AQ297" s="21">
        <v>0.32500000000000001</v>
      </c>
      <c r="AR297">
        <v>262</v>
      </c>
      <c r="AS297" s="21">
        <v>0.249</v>
      </c>
      <c r="AT297">
        <v>231</v>
      </c>
      <c r="AU297" s="21">
        <v>0.71399999999999997</v>
      </c>
      <c r="AV297">
        <v>28</v>
      </c>
      <c r="AW297">
        <v>73.8</v>
      </c>
      <c r="AX297">
        <v>324</v>
      </c>
      <c r="AY297" s="21">
        <v>0.192</v>
      </c>
      <c r="AZ297">
        <v>245</v>
      </c>
      <c r="BA297" s="21">
        <v>0.158</v>
      </c>
    </row>
    <row r="298" spans="1:53" x14ac:dyDescent="0.25">
      <c r="A298" s="1" t="s">
        <v>62</v>
      </c>
      <c r="B298">
        <v>297</v>
      </c>
      <c r="C298">
        <v>-7.9</v>
      </c>
      <c r="D298">
        <v>84</v>
      </c>
      <c r="E298">
        <v>8.4</v>
      </c>
      <c r="F298">
        <v>262</v>
      </c>
      <c r="G298">
        <v>-4.4000000000000004</v>
      </c>
      <c r="H298">
        <v>315</v>
      </c>
      <c r="I298">
        <v>-6.6</v>
      </c>
      <c r="J298">
        <v>150</v>
      </c>
      <c r="K298">
        <v>0.5</v>
      </c>
      <c r="L298">
        <v>215</v>
      </c>
      <c r="M298">
        <v>10.5</v>
      </c>
      <c r="N298">
        <v>357</v>
      </c>
      <c r="O298">
        <v>0.745</v>
      </c>
      <c r="P298">
        <v>303</v>
      </c>
      <c r="Q298">
        <v>1.3340000000000001</v>
      </c>
      <c r="R298">
        <v>158</v>
      </c>
      <c r="S298">
        <v>0.5</v>
      </c>
      <c r="T298">
        <v>349</v>
      </c>
      <c r="U298">
        <v>0.90800000000000003</v>
      </c>
      <c r="V298">
        <v>335</v>
      </c>
      <c r="W298">
        <v>0.99099999999999999</v>
      </c>
      <c r="X298">
        <v>347</v>
      </c>
      <c r="Y298">
        <v>0.92900000000000005</v>
      </c>
      <c r="Z298">
        <v>206</v>
      </c>
      <c r="AA298">
        <v>1.048</v>
      </c>
      <c r="AB298">
        <v>331</v>
      </c>
      <c r="AC298" s="21">
        <v>0.46800000000000003</v>
      </c>
      <c r="AD298" s="21">
        <v>0.47099999999999997</v>
      </c>
      <c r="AE298">
        <v>286</v>
      </c>
      <c r="AF298">
        <v>128</v>
      </c>
      <c r="AG298" s="21">
        <v>0.499</v>
      </c>
      <c r="AH298">
        <v>138</v>
      </c>
      <c r="AI298">
        <v>20.428999999999998</v>
      </c>
      <c r="AJ298">
        <v>205</v>
      </c>
      <c r="AK298" s="21">
        <v>0.248</v>
      </c>
      <c r="AL298">
        <v>334</v>
      </c>
      <c r="AM298" s="21">
        <v>0.249</v>
      </c>
      <c r="AN298">
        <v>333</v>
      </c>
      <c r="AO298" s="21">
        <v>0.30499999999999999</v>
      </c>
      <c r="AP298">
        <v>147</v>
      </c>
      <c r="AQ298" s="21">
        <v>0.33300000000000002</v>
      </c>
      <c r="AR298">
        <v>179</v>
      </c>
      <c r="AS298" s="21">
        <v>0.27800000000000002</v>
      </c>
      <c r="AT298">
        <v>297</v>
      </c>
      <c r="AU298" s="21">
        <v>0.69599999999999995</v>
      </c>
      <c r="AV298">
        <v>90</v>
      </c>
      <c r="AW298">
        <v>71.900000000000006</v>
      </c>
      <c r="AX298">
        <v>357</v>
      </c>
      <c r="AY298" s="21">
        <v>0.21099999999999999</v>
      </c>
      <c r="AZ298">
        <v>313</v>
      </c>
      <c r="BA298" s="21">
        <v>0.14699999999999999</v>
      </c>
    </row>
    <row r="299" spans="1:53" x14ac:dyDescent="0.25">
      <c r="A299" s="1" t="s">
        <v>242</v>
      </c>
      <c r="B299">
        <v>298</v>
      </c>
      <c r="C299">
        <v>-8</v>
      </c>
      <c r="D299">
        <v>306</v>
      </c>
      <c r="E299">
        <v>-10.1</v>
      </c>
      <c r="F299">
        <v>283</v>
      </c>
      <c r="G299">
        <v>-5.0999999999999996</v>
      </c>
      <c r="H299">
        <v>180</v>
      </c>
      <c r="I299">
        <v>-2.4</v>
      </c>
      <c r="J299">
        <v>106</v>
      </c>
      <c r="K299">
        <v>1.1000000000000001</v>
      </c>
      <c r="L299">
        <v>155</v>
      </c>
      <c r="M299">
        <v>10.1</v>
      </c>
      <c r="N299">
        <v>185</v>
      </c>
      <c r="O299">
        <v>1.1240000000000001</v>
      </c>
      <c r="P299">
        <v>310</v>
      </c>
      <c r="Q299">
        <v>1.36</v>
      </c>
      <c r="R299">
        <v>71</v>
      </c>
      <c r="S299">
        <v>0.64300000000000002</v>
      </c>
      <c r="T299">
        <v>71</v>
      </c>
      <c r="U299">
        <v>0.98</v>
      </c>
      <c r="V299">
        <v>278</v>
      </c>
      <c r="W299">
        <v>0.97199999999999998</v>
      </c>
      <c r="X299">
        <v>261</v>
      </c>
      <c r="Y299">
        <v>1.0029999999999999</v>
      </c>
      <c r="Z299">
        <v>279</v>
      </c>
      <c r="AA299">
        <v>1.075</v>
      </c>
      <c r="AB299">
        <v>312</v>
      </c>
      <c r="AC299" s="21">
        <v>0.47699999999999998</v>
      </c>
      <c r="AD299" s="21">
        <v>0.47699999999999998</v>
      </c>
      <c r="AE299">
        <v>266</v>
      </c>
      <c r="AF299">
        <v>286</v>
      </c>
      <c r="AG299" s="21">
        <v>0.53100000000000003</v>
      </c>
      <c r="AH299">
        <v>252</v>
      </c>
      <c r="AI299">
        <v>18.376000000000001</v>
      </c>
      <c r="AJ299">
        <v>47</v>
      </c>
      <c r="AK299" s="21">
        <v>0.20799999999999999</v>
      </c>
      <c r="AL299">
        <v>344</v>
      </c>
      <c r="AM299" s="21">
        <v>0.24199999999999999</v>
      </c>
      <c r="AN299">
        <v>312</v>
      </c>
      <c r="AO299" s="21">
        <v>0.312</v>
      </c>
      <c r="AP299">
        <v>292</v>
      </c>
      <c r="AQ299" s="21">
        <v>0.35699999999999998</v>
      </c>
      <c r="AR299">
        <v>89</v>
      </c>
      <c r="AS299" s="21">
        <v>0.31</v>
      </c>
      <c r="AT299">
        <v>222</v>
      </c>
      <c r="AU299" s="21">
        <v>0.71599999999999997</v>
      </c>
      <c r="AV299">
        <v>338</v>
      </c>
      <c r="AW299">
        <v>66.8</v>
      </c>
      <c r="AX299">
        <v>182</v>
      </c>
      <c r="AY299" s="21">
        <v>0.16800000000000001</v>
      </c>
      <c r="AZ299">
        <v>262</v>
      </c>
      <c r="BA299" s="21">
        <v>0.156</v>
      </c>
    </row>
    <row r="300" spans="1:53" x14ac:dyDescent="0.25">
      <c r="A300" s="1" t="s">
        <v>250</v>
      </c>
      <c r="B300">
        <v>299</v>
      </c>
      <c r="C300">
        <v>-8</v>
      </c>
      <c r="D300">
        <v>240</v>
      </c>
      <c r="E300">
        <v>-3</v>
      </c>
      <c r="F300">
        <v>350</v>
      </c>
      <c r="G300">
        <v>-8.1999999999999993</v>
      </c>
      <c r="H300">
        <v>338</v>
      </c>
      <c r="I300">
        <v>-7.8</v>
      </c>
      <c r="J300">
        <v>129</v>
      </c>
      <c r="K300">
        <v>0.8</v>
      </c>
      <c r="L300">
        <v>140</v>
      </c>
      <c r="M300">
        <v>9.9</v>
      </c>
      <c r="N300">
        <v>292</v>
      </c>
      <c r="O300">
        <v>0.94399999999999995</v>
      </c>
      <c r="P300">
        <v>141</v>
      </c>
      <c r="Q300">
        <v>1.069</v>
      </c>
      <c r="R300">
        <v>27</v>
      </c>
      <c r="S300">
        <v>0.75</v>
      </c>
      <c r="T300">
        <v>120</v>
      </c>
      <c r="U300">
        <v>0.96699999999999997</v>
      </c>
      <c r="V300">
        <v>38</v>
      </c>
      <c r="W300">
        <v>0.92400000000000004</v>
      </c>
      <c r="X300">
        <v>212</v>
      </c>
      <c r="Y300">
        <v>1.022</v>
      </c>
      <c r="Z300">
        <v>257</v>
      </c>
      <c r="AA300">
        <v>1.0649999999999999</v>
      </c>
      <c r="AB300">
        <v>276</v>
      </c>
      <c r="AC300" s="21">
        <v>0.48799999999999999</v>
      </c>
      <c r="AD300" s="21">
        <v>0.48399999999999999</v>
      </c>
      <c r="AE300">
        <v>241</v>
      </c>
      <c r="AF300">
        <v>313</v>
      </c>
      <c r="AG300" s="21">
        <v>0.53800000000000003</v>
      </c>
      <c r="AH300">
        <v>82</v>
      </c>
      <c r="AI300">
        <v>21.689</v>
      </c>
      <c r="AJ300">
        <v>314</v>
      </c>
      <c r="AK300" s="21">
        <v>0.27900000000000003</v>
      </c>
      <c r="AL300">
        <v>363</v>
      </c>
      <c r="AM300" s="21">
        <v>0.17799999999999999</v>
      </c>
      <c r="AN300">
        <v>85</v>
      </c>
      <c r="AO300" s="21">
        <v>0.35499999999999998</v>
      </c>
      <c r="AP300">
        <v>164</v>
      </c>
      <c r="AQ300" s="21">
        <v>0.33500000000000002</v>
      </c>
      <c r="AR300">
        <v>61</v>
      </c>
      <c r="AS300" s="21">
        <v>0.32200000000000001</v>
      </c>
      <c r="AT300">
        <v>281</v>
      </c>
      <c r="AU300" s="21">
        <v>0.70099999999999996</v>
      </c>
      <c r="AV300">
        <v>27</v>
      </c>
      <c r="AW300">
        <v>73.8</v>
      </c>
      <c r="AX300">
        <v>247</v>
      </c>
      <c r="AY300" s="21">
        <v>0.17699999999999999</v>
      </c>
      <c r="AZ300">
        <v>45</v>
      </c>
      <c r="BA300" s="21">
        <v>0.19600000000000001</v>
      </c>
    </row>
    <row r="301" spans="1:53" x14ac:dyDescent="0.25">
      <c r="A301" s="1" t="s">
        <v>159</v>
      </c>
      <c r="B301">
        <v>300</v>
      </c>
      <c r="C301">
        <v>-8.1999999999999993</v>
      </c>
      <c r="D301">
        <v>273</v>
      </c>
      <c r="E301">
        <v>-5.4</v>
      </c>
      <c r="F301">
        <v>271</v>
      </c>
      <c r="G301">
        <v>-4.5999999999999996</v>
      </c>
      <c r="H301">
        <v>255</v>
      </c>
      <c r="I301">
        <v>-4.3</v>
      </c>
      <c r="J301">
        <v>169</v>
      </c>
      <c r="K301">
        <v>0.2</v>
      </c>
      <c r="L301">
        <v>359</v>
      </c>
      <c r="M301">
        <v>13.2</v>
      </c>
      <c r="N301">
        <v>198</v>
      </c>
      <c r="O301">
        <v>1.0940000000000001</v>
      </c>
      <c r="P301">
        <v>309</v>
      </c>
      <c r="Q301">
        <v>1.359</v>
      </c>
      <c r="R301">
        <v>223</v>
      </c>
      <c r="S301">
        <v>0.44400000000000001</v>
      </c>
      <c r="T301">
        <v>18</v>
      </c>
      <c r="U301">
        <v>1.0049999999999999</v>
      </c>
      <c r="V301">
        <v>153</v>
      </c>
      <c r="W301">
        <v>0.95199999999999996</v>
      </c>
      <c r="X301">
        <v>244</v>
      </c>
      <c r="Y301">
        <v>1.01</v>
      </c>
      <c r="Z301">
        <v>296</v>
      </c>
      <c r="AA301">
        <v>1.0860000000000001</v>
      </c>
      <c r="AB301">
        <v>328</v>
      </c>
      <c r="AC301" s="21">
        <v>0.47</v>
      </c>
      <c r="AD301" s="21">
        <v>0.47699999999999998</v>
      </c>
      <c r="AE301">
        <v>266</v>
      </c>
      <c r="AF301">
        <v>333</v>
      </c>
      <c r="AG301" s="21">
        <v>0.54500000000000004</v>
      </c>
      <c r="AH301">
        <v>254</v>
      </c>
      <c r="AI301">
        <v>18.327999999999999</v>
      </c>
      <c r="AJ301">
        <v>187</v>
      </c>
      <c r="AK301" s="21">
        <v>0.24399999999999999</v>
      </c>
      <c r="AL301">
        <v>342</v>
      </c>
      <c r="AM301" s="21">
        <v>0.24199999999999999</v>
      </c>
      <c r="AN301">
        <v>361</v>
      </c>
      <c r="AO301" s="21">
        <v>0.28199999999999997</v>
      </c>
      <c r="AP301">
        <v>301</v>
      </c>
      <c r="AQ301" s="21">
        <v>0.35799999999999998</v>
      </c>
      <c r="AR301">
        <v>60</v>
      </c>
      <c r="AS301" s="21">
        <v>0.32300000000000001</v>
      </c>
      <c r="AT301">
        <v>136</v>
      </c>
      <c r="AU301" s="21">
        <v>0.73199999999999998</v>
      </c>
      <c r="AV301">
        <v>140</v>
      </c>
      <c r="AW301">
        <v>70.900000000000006</v>
      </c>
      <c r="AX301">
        <v>83</v>
      </c>
      <c r="AY301" s="21">
        <v>0.154</v>
      </c>
      <c r="AZ301">
        <v>210</v>
      </c>
      <c r="BA301" s="21">
        <v>0.16200000000000001</v>
      </c>
    </row>
    <row r="302" spans="1:53" x14ac:dyDescent="0.25">
      <c r="A302" s="1" t="s">
        <v>593</v>
      </c>
      <c r="B302">
        <v>301</v>
      </c>
      <c r="C302">
        <v>-8.1999999999999993</v>
      </c>
      <c r="D302">
        <v>332</v>
      </c>
      <c r="E302">
        <v>-14.4</v>
      </c>
      <c r="F302">
        <v>288</v>
      </c>
      <c r="G302">
        <v>-5.3</v>
      </c>
      <c r="H302">
        <v>284</v>
      </c>
      <c r="I302">
        <v>-5.0999999999999996</v>
      </c>
      <c r="J302">
        <v>209</v>
      </c>
      <c r="K302">
        <v>-0.5</v>
      </c>
      <c r="L302">
        <v>5</v>
      </c>
      <c r="M302">
        <v>7.8</v>
      </c>
      <c r="N302">
        <v>318</v>
      </c>
      <c r="O302">
        <v>0.90300000000000002</v>
      </c>
      <c r="P302">
        <v>95</v>
      </c>
      <c r="Q302">
        <v>0.997</v>
      </c>
      <c r="R302">
        <v>279</v>
      </c>
      <c r="S302">
        <v>0.33300000000000002</v>
      </c>
      <c r="T302">
        <v>261</v>
      </c>
      <c r="U302">
        <v>0.93799999999999994</v>
      </c>
      <c r="V302">
        <v>150</v>
      </c>
      <c r="W302">
        <v>0.95199999999999996</v>
      </c>
      <c r="X302">
        <v>313</v>
      </c>
      <c r="Y302">
        <v>0.97399999999999998</v>
      </c>
      <c r="Z302">
        <v>218</v>
      </c>
      <c r="AA302">
        <v>1.0529999999999999</v>
      </c>
      <c r="AB302">
        <v>267</v>
      </c>
      <c r="AC302" s="21">
        <v>0.49099999999999999</v>
      </c>
      <c r="AD302" s="21">
        <v>0.46700000000000003</v>
      </c>
      <c r="AE302">
        <v>300</v>
      </c>
      <c r="AF302">
        <v>270</v>
      </c>
      <c r="AG302" s="21">
        <v>0.52600000000000002</v>
      </c>
      <c r="AH302">
        <v>299</v>
      </c>
      <c r="AI302">
        <v>17.169</v>
      </c>
      <c r="AJ302">
        <v>83</v>
      </c>
      <c r="AK302" s="21">
        <v>0.218</v>
      </c>
      <c r="AL302">
        <v>69</v>
      </c>
      <c r="AM302" s="21">
        <v>0.36</v>
      </c>
      <c r="AN302">
        <v>238</v>
      </c>
      <c r="AO302" s="21">
        <v>0.32500000000000001</v>
      </c>
      <c r="AP302">
        <v>89</v>
      </c>
      <c r="AQ302" s="21">
        <v>0.32300000000000001</v>
      </c>
      <c r="AR302">
        <v>277</v>
      </c>
      <c r="AS302" s="21">
        <v>0.24399999999999999</v>
      </c>
      <c r="AT302">
        <v>264</v>
      </c>
      <c r="AU302" s="21">
        <v>0.70699999999999996</v>
      </c>
      <c r="AV302">
        <v>350</v>
      </c>
      <c r="AW302">
        <v>66.400000000000006</v>
      </c>
      <c r="AX302">
        <v>242</v>
      </c>
      <c r="AY302" s="21">
        <v>0.17599999999999999</v>
      </c>
      <c r="AZ302">
        <v>121</v>
      </c>
      <c r="BA302" s="21">
        <v>0.17499999999999999</v>
      </c>
    </row>
    <row r="303" spans="1:53" x14ac:dyDescent="0.25">
      <c r="A303" s="1" t="s">
        <v>234</v>
      </c>
      <c r="B303">
        <v>302</v>
      </c>
      <c r="C303">
        <v>-8.3000000000000007</v>
      </c>
      <c r="D303">
        <v>133</v>
      </c>
      <c r="E303">
        <v>3</v>
      </c>
      <c r="F303">
        <v>215</v>
      </c>
      <c r="G303">
        <v>-3.2</v>
      </c>
      <c r="H303">
        <v>305</v>
      </c>
      <c r="I303">
        <v>-6.1</v>
      </c>
      <c r="J303">
        <v>276</v>
      </c>
      <c r="K303">
        <v>-1.4</v>
      </c>
      <c r="L303">
        <v>324</v>
      </c>
      <c r="M303">
        <v>11.8</v>
      </c>
      <c r="N303">
        <v>314</v>
      </c>
      <c r="O303">
        <v>0.90900000000000003</v>
      </c>
      <c r="P303">
        <v>341</v>
      </c>
      <c r="Q303">
        <v>1.508</v>
      </c>
      <c r="R303">
        <v>239</v>
      </c>
      <c r="S303">
        <v>0.42899999999999999</v>
      </c>
      <c r="T303">
        <v>285</v>
      </c>
      <c r="U303">
        <v>0.93200000000000005</v>
      </c>
      <c r="V303">
        <v>226</v>
      </c>
      <c r="W303">
        <v>0.96399999999999997</v>
      </c>
      <c r="X303">
        <v>314</v>
      </c>
      <c r="Y303">
        <v>0.97299999999999998</v>
      </c>
      <c r="Z303">
        <v>332</v>
      </c>
      <c r="AA303">
        <v>1.1040000000000001</v>
      </c>
      <c r="AB303">
        <v>299</v>
      </c>
      <c r="AC303" s="21">
        <v>0.48099999999999998</v>
      </c>
      <c r="AD303" s="21">
        <v>0.47499999999999998</v>
      </c>
      <c r="AE303">
        <v>273</v>
      </c>
      <c r="AF303">
        <v>290</v>
      </c>
      <c r="AG303" s="21">
        <v>0.53200000000000003</v>
      </c>
      <c r="AH303">
        <v>191</v>
      </c>
      <c r="AI303">
        <v>19.469000000000001</v>
      </c>
      <c r="AJ303">
        <v>299</v>
      </c>
      <c r="AK303" s="21">
        <v>0.27200000000000002</v>
      </c>
      <c r="AL303">
        <v>279</v>
      </c>
      <c r="AM303" s="21">
        <v>0.28000000000000003</v>
      </c>
      <c r="AN303">
        <v>347</v>
      </c>
      <c r="AO303" s="21">
        <v>0.29699999999999999</v>
      </c>
      <c r="AP303">
        <v>300</v>
      </c>
      <c r="AQ303" s="21">
        <v>0.35799999999999998</v>
      </c>
      <c r="AR303">
        <v>223</v>
      </c>
      <c r="AS303" s="21">
        <v>0.26400000000000001</v>
      </c>
      <c r="AT303">
        <v>148</v>
      </c>
      <c r="AU303" s="21">
        <v>0.73</v>
      </c>
      <c r="AV303">
        <v>197</v>
      </c>
      <c r="AW303">
        <v>69.900000000000006</v>
      </c>
      <c r="AX303">
        <v>308</v>
      </c>
      <c r="AY303" s="21">
        <v>0.188</v>
      </c>
      <c r="AZ303">
        <v>298</v>
      </c>
      <c r="BA303" s="21">
        <v>0.151</v>
      </c>
    </row>
    <row r="304" spans="1:53" x14ac:dyDescent="0.25">
      <c r="A304" s="1" t="s">
        <v>594</v>
      </c>
      <c r="B304">
        <v>303</v>
      </c>
      <c r="C304">
        <v>-8.4</v>
      </c>
      <c r="D304">
        <v>350</v>
      </c>
      <c r="E304">
        <v>-19.100000000000001</v>
      </c>
      <c r="F304">
        <v>221</v>
      </c>
      <c r="G304">
        <v>-3.3</v>
      </c>
      <c r="H304">
        <v>211</v>
      </c>
      <c r="I304">
        <v>-3.2</v>
      </c>
      <c r="J304">
        <v>183</v>
      </c>
      <c r="K304">
        <v>0</v>
      </c>
      <c r="L304">
        <v>240</v>
      </c>
      <c r="M304">
        <v>10.8</v>
      </c>
      <c r="N304">
        <v>347</v>
      </c>
      <c r="O304">
        <v>0.80100000000000005</v>
      </c>
      <c r="P304">
        <v>294</v>
      </c>
      <c r="Q304">
        <v>1.304</v>
      </c>
      <c r="R304">
        <v>158</v>
      </c>
      <c r="S304">
        <v>0.5</v>
      </c>
      <c r="T304">
        <v>291</v>
      </c>
      <c r="U304">
        <v>0.93100000000000005</v>
      </c>
      <c r="V304">
        <v>303</v>
      </c>
      <c r="W304">
        <v>0.97799999999999998</v>
      </c>
      <c r="X304">
        <v>312</v>
      </c>
      <c r="Y304">
        <v>0.97599999999999998</v>
      </c>
      <c r="Z304">
        <v>317</v>
      </c>
      <c r="AA304">
        <v>1.0960000000000001</v>
      </c>
      <c r="AB304">
        <v>281</v>
      </c>
      <c r="AC304" s="21">
        <v>0.48699999999999999</v>
      </c>
      <c r="AD304" s="21">
        <v>0.48599999999999999</v>
      </c>
      <c r="AE304">
        <v>228</v>
      </c>
      <c r="AF304">
        <v>297</v>
      </c>
      <c r="AG304" s="21">
        <v>0.53400000000000003</v>
      </c>
      <c r="AH304">
        <v>53</v>
      </c>
      <c r="AI304">
        <v>22.443000000000001</v>
      </c>
      <c r="AJ304">
        <v>222</v>
      </c>
      <c r="AK304" s="21">
        <v>0.253</v>
      </c>
      <c r="AL304">
        <v>205</v>
      </c>
      <c r="AM304" s="21">
        <v>0.30499999999999999</v>
      </c>
      <c r="AN304">
        <v>328</v>
      </c>
      <c r="AO304" s="21">
        <v>0.307</v>
      </c>
      <c r="AP304">
        <v>96</v>
      </c>
      <c r="AQ304" s="21">
        <v>0.32400000000000001</v>
      </c>
      <c r="AR304">
        <v>159</v>
      </c>
      <c r="AS304" s="21">
        <v>0.28399999999999997</v>
      </c>
      <c r="AT304">
        <v>72</v>
      </c>
      <c r="AU304" s="21">
        <v>0.746</v>
      </c>
      <c r="AV304">
        <v>89</v>
      </c>
      <c r="AW304">
        <v>71.900000000000006</v>
      </c>
      <c r="AX304">
        <v>330</v>
      </c>
      <c r="AY304" s="21">
        <v>0.193</v>
      </c>
      <c r="AZ304">
        <v>350</v>
      </c>
      <c r="BA304" s="21">
        <v>0.13100000000000001</v>
      </c>
    </row>
    <row r="305" spans="1:53" x14ac:dyDescent="0.25">
      <c r="A305" s="1" t="s">
        <v>97</v>
      </c>
      <c r="B305">
        <v>304</v>
      </c>
      <c r="C305">
        <v>-8.4</v>
      </c>
      <c r="D305">
        <v>226</v>
      </c>
      <c r="E305">
        <v>-2.1</v>
      </c>
      <c r="F305">
        <v>121</v>
      </c>
      <c r="G305">
        <v>0.1</v>
      </c>
      <c r="H305">
        <v>267</v>
      </c>
      <c r="I305">
        <v>-4.5999999999999996</v>
      </c>
      <c r="J305">
        <v>337</v>
      </c>
      <c r="K305">
        <v>-2.7</v>
      </c>
      <c r="L305">
        <v>82</v>
      </c>
      <c r="M305">
        <v>9.4</v>
      </c>
      <c r="N305">
        <v>271</v>
      </c>
      <c r="O305">
        <v>0.98799999999999999</v>
      </c>
      <c r="P305">
        <v>269</v>
      </c>
      <c r="Q305">
        <v>1.2569999999999999</v>
      </c>
      <c r="R305">
        <v>338</v>
      </c>
      <c r="S305">
        <v>0.2</v>
      </c>
      <c r="T305">
        <v>361</v>
      </c>
      <c r="U305">
        <v>0.88600000000000001</v>
      </c>
      <c r="V305">
        <v>235</v>
      </c>
      <c r="W305">
        <v>0.96599999999999997</v>
      </c>
      <c r="X305">
        <v>346</v>
      </c>
      <c r="Y305">
        <v>0.93100000000000005</v>
      </c>
      <c r="Z305">
        <v>335</v>
      </c>
      <c r="AA305">
        <v>1.107</v>
      </c>
      <c r="AB305">
        <v>220</v>
      </c>
      <c r="AC305" s="21">
        <v>0.501</v>
      </c>
      <c r="AD305" s="21">
        <v>0.49299999999999999</v>
      </c>
      <c r="AE305">
        <v>190</v>
      </c>
      <c r="AF305">
        <v>334</v>
      </c>
      <c r="AG305" s="21">
        <v>0.54600000000000004</v>
      </c>
      <c r="AH305">
        <v>302</v>
      </c>
      <c r="AI305">
        <v>17.052</v>
      </c>
      <c r="AJ305">
        <v>266</v>
      </c>
      <c r="AK305" s="21">
        <v>0.26100000000000001</v>
      </c>
      <c r="AL305">
        <v>19</v>
      </c>
      <c r="AM305" s="21">
        <v>0.39200000000000002</v>
      </c>
      <c r="AN305">
        <v>210</v>
      </c>
      <c r="AO305" s="21">
        <v>0.33100000000000002</v>
      </c>
      <c r="AP305">
        <v>323</v>
      </c>
      <c r="AQ305" s="21">
        <v>0.36299999999999999</v>
      </c>
      <c r="AR305">
        <v>345</v>
      </c>
      <c r="AS305" s="21">
        <v>0.19900000000000001</v>
      </c>
      <c r="AT305">
        <v>169</v>
      </c>
      <c r="AU305" s="21">
        <v>0.72499999999999998</v>
      </c>
      <c r="AV305">
        <v>347</v>
      </c>
      <c r="AW305">
        <v>66.5</v>
      </c>
      <c r="AX305">
        <v>351</v>
      </c>
      <c r="AY305" s="21">
        <v>0.20300000000000001</v>
      </c>
      <c r="AZ305">
        <v>277</v>
      </c>
      <c r="BA305" s="21">
        <v>0.154</v>
      </c>
    </row>
    <row r="306" spans="1:53" x14ac:dyDescent="0.25">
      <c r="A306" s="1" t="s">
        <v>448</v>
      </c>
      <c r="B306">
        <v>305</v>
      </c>
      <c r="C306">
        <v>-8.4</v>
      </c>
      <c r="D306">
        <v>315</v>
      </c>
      <c r="E306">
        <v>-11.7</v>
      </c>
      <c r="F306">
        <v>244</v>
      </c>
      <c r="G306">
        <v>-3.9</v>
      </c>
      <c r="H306">
        <v>212</v>
      </c>
      <c r="I306">
        <v>-3.2</v>
      </c>
      <c r="J306">
        <v>108</v>
      </c>
      <c r="K306">
        <v>1</v>
      </c>
      <c r="L306">
        <v>228</v>
      </c>
      <c r="M306">
        <v>10.6</v>
      </c>
      <c r="N306">
        <v>280</v>
      </c>
      <c r="O306">
        <v>0.96499999999999997</v>
      </c>
      <c r="P306">
        <v>57</v>
      </c>
      <c r="Q306">
        <v>0.95399999999999996</v>
      </c>
      <c r="R306">
        <v>72</v>
      </c>
      <c r="S306">
        <v>0.63600000000000001</v>
      </c>
      <c r="T306">
        <v>202</v>
      </c>
      <c r="U306">
        <v>0.95099999999999996</v>
      </c>
      <c r="V306">
        <v>205</v>
      </c>
      <c r="W306">
        <v>0.96099999999999997</v>
      </c>
      <c r="X306">
        <v>336</v>
      </c>
      <c r="Y306">
        <v>0.94599999999999995</v>
      </c>
      <c r="Z306">
        <v>261</v>
      </c>
      <c r="AA306">
        <v>1.0680000000000001</v>
      </c>
      <c r="AB306">
        <v>346</v>
      </c>
      <c r="AC306" s="21">
        <v>0.45700000000000002</v>
      </c>
      <c r="AD306" s="21">
        <v>0.46899999999999997</v>
      </c>
      <c r="AE306">
        <v>291</v>
      </c>
      <c r="AF306">
        <v>207</v>
      </c>
      <c r="AG306" s="21">
        <v>0.51300000000000001</v>
      </c>
      <c r="AH306">
        <v>260</v>
      </c>
      <c r="AI306">
        <v>18.125</v>
      </c>
      <c r="AJ306">
        <v>355</v>
      </c>
      <c r="AK306" s="21">
        <v>0.30299999999999999</v>
      </c>
      <c r="AL306">
        <v>178</v>
      </c>
      <c r="AM306" s="21">
        <v>0.316</v>
      </c>
      <c r="AN306">
        <v>301</v>
      </c>
      <c r="AO306" s="21">
        <v>0.313</v>
      </c>
      <c r="AP306">
        <v>53</v>
      </c>
      <c r="AQ306" s="21">
        <v>0.315</v>
      </c>
      <c r="AR306">
        <v>317</v>
      </c>
      <c r="AS306" s="21">
        <v>0.22800000000000001</v>
      </c>
      <c r="AT306">
        <v>358</v>
      </c>
      <c r="AU306" s="21">
        <v>0.65800000000000003</v>
      </c>
      <c r="AV306">
        <v>258</v>
      </c>
      <c r="AW306">
        <v>68.599999999999994</v>
      </c>
      <c r="AX306">
        <v>96</v>
      </c>
      <c r="AY306" s="21">
        <v>0.156</v>
      </c>
      <c r="AZ306">
        <v>70</v>
      </c>
      <c r="BA306" s="21">
        <v>0.186</v>
      </c>
    </row>
    <row r="307" spans="1:53" x14ac:dyDescent="0.25">
      <c r="A307" s="1" t="s">
        <v>303</v>
      </c>
      <c r="B307">
        <v>306</v>
      </c>
      <c r="C307">
        <v>-8.5</v>
      </c>
      <c r="D307">
        <v>278</v>
      </c>
      <c r="E307">
        <v>-5.7</v>
      </c>
      <c r="F307">
        <v>217</v>
      </c>
      <c r="G307">
        <v>-3.2</v>
      </c>
      <c r="H307">
        <v>237</v>
      </c>
      <c r="I307">
        <v>-3.8</v>
      </c>
      <c r="J307">
        <v>350</v>
      </c>
      <c r="K307">
        <v>-3.1</v>
      </c>
      <c r="L307">
        <v>1</v>
      </c>
      <c r="M307">
        <v>6.7</v>
      </c>
      <c r="N307">
        <v>277</v>
      </c>
      <c r="O307">
        <v>0.96899999999999997</v>
      </c>
      <c r="P307">
        <v>180</v>
      </c>
      <c r="Q307">
        <v>1.1339999999999999</v>
      </c>
      <c r="R307">
        <v>342</v>
      </c>
      <c r="S307">
        <v>0.182</v>
      </c>
      <c r="T307">
        <v>309</v>
      </c>
      <c r="U307">
        <v>0.92900000000000005</v>
      </c>
      <c r="V307">
        <v>197</v>
      </c>
      <c r="W307">
        <v>0.95899999999999996</v>
      </c>
      <c r="X307">
        <v>316</v>
      </c>
      <c r="Y307">
        <v>0.96599999999999997</v>
      </c>
      <c r="Z307">
        <v>305</v>
      </c>
      <c r="AA307">
        <v>1.089</v>
      </c>
      <c r="AB307">
        <v>278</v>
      </c>
      <c r="AC307" s="21">
        <v>0.48799999999999999</v>
      </c>
      <c r="AD307" s="21">
        <v>0.48</v>
      </c>
      <c r="AE307">
        <v>257</v>
      </c>
      <c r="AF307">
        <v>280</v>
      </c>
      <c r="AG307" s="21">
        <v>0.53</v>
      </c>
      <c r="AH307">
        <v>217</v>
      </c>
      <c r="AI307">
        <v>18.873000000000001</v>
      </c>
      <c r="AJ307">
        <v>345</v>
      </c>
      <c r="AK307" s="21">
        <v>0.29299999999999998</v>
      </c>
      <c r="AL307">
        <v>135</v>
      </c>
      <c r="AM307" s="21">
        <v>0.32900000000000001</v>
      </c>
      <c r="AN307">
        <v>196</v>
      </c>
      <c r="AO307" s="21">
        <v>0.33400000000000002</v>
      </c>
      <c r="AP307">
        <v>218</v>
      </c>
      <c r="AQ307" s="21">
        <v>0.34399999999999997</v>
      </c>
      <c r="AR307">
        <v>290</v>
      </c>
      <c r="AS307" s="21">
        <v>0.23899999999999999</v>
      </c>
      <c r="AT307">
        <v>322</v>
      </c>
      <c r="AU307" s="21">
        <v>0.68700000000000006</v>
      </c>
      <c r="AV307">
        <v>160</v>
      </c>
      <c r="AW307">
        <v>70.599999999999994</v>
      </c>
      <c r="AX307">
        <v>260</v>
      </c>
      <c r="AY307" s="21">
        <v>0.17899999999999999</v>
      </c>
      <c r="AZ307">
        <v>162</v>
      </c>
      <c r="BA307" s="21">
        <v>0.17</v>
      </c>
    </row>
    <row r="308" spans="1:53" x14ac:dyDescent="0.25">
      <c r="A308" s="1" t="s">
        <v>111</v>
      </c>
      <c r="B308">
        <v>307</v>
      </c>
      <c r="C308">
        <v>-8.5</v>
      </c>
      <c r="D308">
        <v>295</v>
      </c>
      <c r="E308">
        <v>-7.9</v>
      </c>
      <c r="F308">
        <v>339</v>
      </c>
      <c r="G308">
        <v>-7.4</v>
      </c>
      <c r="H308">
        <v>306</v>
      </c>
      <c r="I308">
        <v>-6.2</v>
      </c>
      <c r="J308">
        <v>335</v>
      </c>
      <c r="K308">
        <v>-2.6</v>
      </c>
      <c r="L308">
        <v>313</v>
      </c>
      <c r="M308">
        <v>11.6</v>
      </c>
      <c r="N308">
        <v>273</v>
      </c>
      <c r="O308">
        <v>0.98599999999999999</v>
      </c>
      <c r="P308">
        <v>142</v>
      </c>
      <c r="Q308">
        <v>1.07</v>
      </c>
      <c r="R308">
        <v>158</v>
      </c>
      <c r="S308">
        <v>0.5</v>
      </c>
      <c r="T308">
        <v>354</v>
      </c>
      <c r="U308">
        <v>0.90300000000000002</v>
      </c>
      <c r="V308">
        <v>290</v>
      </c>
      <c r="W308">
        <v>0.97499999999999998</v>
      </c>
      <c r="X308">
        <v>170</v>
      </c>
      <c r="Y308">
        <v>1.038</v>
      </c>
      <c r="Z308">
        <v>337</v>
      </c>
      <c r="AA308">
        <v>1.109</v>
      </c>
      <c r="AB308">
        <v>70</v>
      </c>
      <c r="AC308" s="21">
        <v>0.53500000000000003</v>
      </c>
      <c r="AD308" s="21">
        <v>0.504</v>
      </c>
      <c r="AE308">
        <v>128</v>
      </c>
      <c r="AF308">
        <v>252</v>
      </c>
      <c r="AG308" s="21">
        <v>0.52300000000000002</v>
      </c>
      <c r="AH308">
        <v>115</v>
      </c>
      <c r="AI308">
        <v>20.995999999999999</v>
      </c>
      <c r="AJ308">
        <v>344</v>
      </c>
      <c r="AK308" s="21">
        <v>0.29299999999999998</v>
      </c>
      <c r="AL308">
        <v>183</v>
      </c>
      <c r="AM308" s="21">
        <v>0.315</v>
      </c>
      <c r="AN308">
        <v>48</v>
      </c>
      <c r="AO308" s="21">
        <v>0.36599999999999999</v>
      </c>
      <c r="AP308">
        <v>182</v>
      </c>
      <c r="AQ308" s="21">
        <v>0.33800000000000002</v>
      </c>
      <c r="AR308">
        <v>181</v>
      </c>
      <c r="AS308" s="21">
        <v>0.27800000000000002</v>
      </c>
      <c r="AT308">
        <v>345</v>
      </c>
      <c r="AU308" s="21">
        <v>0.67400000000000004</v>
      </c>
      <c r="AV308">
        <v>51</v>
      </c>
      <c r="AW308">
        <v>72.8</v>
      </c>
      <c r="AX308">
        <v>356</v>
      </c>
      <c r="AY308" s="21">
        <v>0.20799999999999999</v>
      </c>
      <c r="AZ308">
        <v>222</v>
      </c>
      <c r="BA308" s="21">
        <v>0.161</v>
      </c>
    </row>
    <row r="309" spans="1:53" x14ac:dyDescent="0.25">
      <c r="A309" s="1" t="s">
        <v>232</v>
      </c>
      <c r="B309">
        <v>308</v>
      </c>
      <c r="C309">
        <v>-8.6</v>
      </c>
      <c r="D309">
        <v>183</v>
      </c>
      <c r="E309" t="s">
        <v>5</v>
      </c>
      <c r="F309">
        <v>344</v>
      </c>
      <c r="G309">
        <v>-7.6</v>
      </c>
      <c r="H309">
        <v>283</v>
      </c>
      <c r="I309">
        <v>-5.0999999999999996</v>
      </c>
      <c r="J309">
        <v>322</v>
      </c>
      <c r="K309">
        <v>-2.2000000000000002</v>
      </c>
      <c r="L309">
        <v>163</v>
      </c>
      <c r="M309">
        <v>10.199999999999999</v>
      </c>
      <c r="N309">
        <v>190</v>
      </c>
      <c r="O309">
        <v>1.1120000000000001</v>
      </c>
      <c r="P309">
        <v>168</v>
      </c>
      <c r="Q309">
        <v>1.1080000000000001</v>
      </c>
      <c r="R309">
        <v>321</v>
      </c>
      <c r="S309">
        <v>0.27300000000000002</v>
      </c>
      <c r="T309">
        <v>243</v>
      </c>
      <c r="U309">
        <v>0.94199999999999995</v>
      </c>
      <c r="V309">
        <v>193</v>
      </c>
      <c r="W309">
        <v>0.95799999999999996</v>
      </c>
      <c r="X309">
        <v>292</v>
      </c>
      <c r="Y309">
        <v>0.98799999999999999</v>
      </c>
      <c r="Z309">
        <v>191</v>
      </c>
      <c r="AA309">
        <v>1.042</v>
      </c>
      <c r="AB309">
        <v>266</v>
      </c>
      <c r="AC309" s="21">
        <v>0.49099999999999999</v>
      </c>
      <c r="AD309" s="21">
        <v>0.47899999999999998</v>
      </c>
      <c r="AE309">
        <v>260</v>
      </c>
      <c r="AF309">
        <v>159</v>
      </c>
      <c r="AG309" s="21">
        <v>0.505</v>
      </c>
      <c r="AH309">
        <v>234</v>
      </c>
      <c r="AI309">
        <v>18.734999999999999</v>
      </c>
      <c r="AJ309">
        <v>108</v>
      </c>
      <c r="AK309" s="21">
        <v>0.22600000000000001</v>
      </c>
      <c r="AL309">
        <v>128</v>
      </c>
      <c r="AM309" s="21">
        <v>0.33100000000000002</v>
      </c>
      <c r="AN309">
        <v>260</v>
      </c>
      <c r="AO309" s="21">
        <v>0.32200000000000001</v>
      </c>
      <c r="AP309">
        <v>18</v>
      </c>
      <c r="AQ309" s="21">
        <v>0.30299999999999999</v>
      </c>
      <c r="AR309">
        <v>294</v>
      </c>
      <c r="AS309" s="21">
        <v>0.23799999999999999</v>
      </c>
      <c r="AT309">
        <v>278</v>
      </c>
      <c r="AU309" s="21">
        <v>0.70099999999999996</v>
      </c>
      <c r="AV309">
        <v>119</v>
      </c>
      <c r="AW309">
        <v>71.3</v>
      </c>
      <c r="AX309">
        <v>176</v>
      </c>
      <c r="AY309" s="21">
        <v>0.16700000000000001</v>
      </c>
      <c r="AZ309">
        <v>142</v>
      </c>
      <c r="BA309" s="21">
        <v>0.17199999999999999</v>
      </c>
    </row>
    <row r="310" spans="1:53" x14ac:dyDescent="0.25">
      <c r="A310" s="1" t="s">
        <v>173</v>
      </c>
      <c r="B310">
        <v>309</v>
      </c>
      <c r="C310">
        <v>-8.6999999999999993</v>
      </c>
      <c r="D310">
        <v>291</v>
      </c>
      <c r="E310">
        <v>-7.3</v>
      </c>
      <c r="F310">
        <v>323</v>
      </c>
      <c r="G310">
        <v>-6.7</v>
      </c>
      <c r="H310">
        <v>339</v>
      </c>
      <c r="I310">
        <v>-7.9</v>
      </c>
      <c r="J310">
        <v>81</v>
      </c>
      <c r="K310">
        <v>1.4</v>
      </c>
      <c r="L310">
        <v>22</v>
      </c>
      <c r="M310">
        <v>8.3000000000000007</v>
      </c>
      <c r="N310">
        <v>285</v>
      </c>
      <c r="O310">
        <v>0.96099999999999997</v>
      </c>
      <c r="P310">
        <v>320</v>
      </c>
      <c r="Q310">
        <v>1.3939999999999999</v>
      </c>
      <c r="R310">
        <v>90</v>
      </c>
      <c r="S310">
        <v>0.61499999999999999</v>
      </c>
      <c r="T310">
        <v>339</v>
      </c>
      <c r="U310">
        <v>0.91300000000000003</v>
      </c>
      <c r="V310">
        <v>340</v>
      </c>
      <c r="W310">
        <v>0.99199999999999999</v>
      </c>
      <c r="X310">
        <v>276</v>
      </c>
      <c r="Y310">
        <v>0.996</v>
      </c>
      <c r="Z310">
        <v>240</v>
      </c>
      <c r="AA310">
        <v>1.0589999999999999</v>
      </c>
      <c r="AB310">
        <v>133</v>
      </c>
      <c r="AC310" s="21">
        <v>0.51600000000000001</v>
      </c>
      <c r="AD310" s="21">
        <v>0.50800000000000001</v>
      </c>
      <c r="AE310">
        <v>107</v>
      </c>
      <c r="AF310">
        <v>121</v>
      </c>
      <c r="AG310" s="21">
        <v>0.497</v>
      </c>
      <c r="AH310">
        <v>244</v>
      </c>
      <c r="AI310">
        <v>18.524999999999999</v>
      </c>
      <c r="AJ310">
        <v>199</v>
      </c>
      <c r="AK310" s="21">
        <v>0.247</v>
      </c>
      <c r="AL310">
        <v>213</v>
      </c>
      <c r="AM310" s="21">
        <v>0.30299999999999999</v>
      </c>
      <c r="AN310">
        <v>87</v>
      </c>
      <c r="AO310" s="21">
        <v>0.35399999999999998</v>
      </c>
      <c r="AP310">
        <v>66</v>
      </c>
      <c r="AQ310" s="21">
        <v>0.318</v>
      </c>
      <c r="AR310">
        <v>285</v>
      </c>
      <c r="AS310" s="21">
        <v>0.24</v>
      </c>
      <c r="AT310">
        <v>37</v>
      </c>
      <c r="AU310" s="21">
        <v>0.75800000000000001</v>
      </c>
      <c r="AV310">
        <v>243</v>
      </c>
      <c r="AW310">
        <v>68.900000000000006</v>
      </c>
      <c r="AX310">
        <v>318</v>
      </c>
      <c r="AY310" s="21">
        <v>0.191</v>
      </c>
      <c r="AZ310">
        <v>358</v>
      </c>
      <c r="BA310" s="21">
        <v>0.125</v>
      </c>
    </row>
    <row r="311" spans="1:53" x14ac:dyDescent="0.25">
      <c r="A311" s="1" t="s">
        <v>461</v>
      </c>
      <c r="B311">
        <v>310</v>
      </c>
      <c r="C311">
        <v>-8.8000000000000007</v>
      </c>
      <c r="D311">
        <v>261</v>
      </c>
      <c r="E311">
        <v>-4.4000000000000004</v>
      </c>
      <c r="F311">
        <v>300</v>
      </c>
      <c r="G311">
        <v>-5.8</v>
      </c>
      <c r="H311">
        <v>353</v>
      </c>
      <c r="I311">
        <v>-9.3000000000000007</v>
      </c>
      <c r="J311">
        <v>62</v>
      </c>
      <c r="K311">
        <v>1.8</v>
      </c>
      <c r="L311">
        <v>223</v>
      </c>
      <c r="M311">
        <v>10.6</v>
      </c>
      <c r="N311">
        <v>320</v>
      </c>
      <c r="O311">
        <v>0.89700000000000002</v>
      </c>
      <c r="P311">
        <v>333</v>
      </c>
      <c r="Q311">
        <v>1.462</v>
      </c>
      <c r="R311">
        <v>279</v>
      </c>
      <c r="S311">
        <v>0.33300000000000002</v>
      </c>
      <c r="T311">
        <v>307</v>
      </c>
      <c r="U311">
        <v>0.92900000000000005</v>
      </c>
      <c r="V311">
        <v>231</v>
      </c>
      <c r="W311">
        <v>0.96499999999999997</v>
      </c>
      <c r="X311">
        <v>285</v>
      </c>
      <c r="Y311">
        <v>0.99099999999999999</v>
      </c>
      <c r="Z311">
        <v>290</v>
      </c>
      <c r="AA311">
        <v>1.0820000000000001</v>
      </c>
      <c r="AB311">
        <v>287</v>
      </c>
      <c r="AC311" s="21">
        <v>0.48499999999999999</v>
      </c>
      <c r="AD311" s="21">
        <v>0.49199999999999999</v>
      </c>
      <c r="AE311">
        <v>198</v>
      </c>
      <c r="AF311">
        <v>321</v>
      </c>
      <c r="AG311" s="21">
        <v>0.54200000000000004</v>
      </c>
      <c r="AH311">
        <v>46</v>
      </c>
      <c r="AI311">
        <v>22.638000000000002</v>
      </c>
      <c r="AJ311">
        <v>110</v>
      </c>
      <c r="AK311" s="21">
        <v>0.22600000000000001</v>
      </c>
      <c r="AL311">
        <v>91</v>
      </c>
      <c r="AM311" s="21">
        <v>0.34699999999999998</v>
      </c>
      <c r="AN311">
        <v>320</v>
      </c>
      <c r="AO311" s="21">
        <v>0.31</v>
      </c>
      <c r="AP311">
        <v>225</v>
      </c>
      <c r="AQ311" s="21">
        <v>0.34499999999999997</v>
      </c>
      <c r="AR311">
        <v>313</v>
      </c>
      <c r="AS311" s="21">
        <v>0.22900000000000001</v>
      </c>
      <c r="AT311">
        <v>296</v>
      </c>
      <c r="AU311" s="21">
        <v>0.69699999999999995</v>
      </c>
      <c r="AV311">
        <v>202</v>
      </c>
      <c r="AW311">
        <v>69.8</v>
      </c>
      <c r="AX311">
        <v>235</v>
      </c>
      <c r="AY311" s="21">
        <v>0.17599999999999999</v>
      </c>
      <c r="AZ311">
        <v>150</v>
      </c>
      <c r="BA311" s="21">
        <v>0.17100000000000001</v>
      </c>
    </row>
    <row r="312" spans="1:53" x14ac:dyDescent="0.25">
      <c r="A312" s="1" t="s">
        <v>595</v>
      </c>
      <c r="B312">
        <v>311</v>
      </c>
      <c r="C312">
        <v>-8.9</v>
      </c>
      <c r="D312">
        <v>180</v>
      </c>
      <c r="E312" t="s">
        <v>5</v>
      </c>
      <c r="F312">
        <v>321</v>
      </c>
      <c r="G312">
        <v>-6.5</v>
      </c>
      <c r="H312">
        <v>314</v>
      </c>
      <c r="I312">
        <v>-6.6</v>
      </c>
      <c r="J312">
        <v>235</v>
      </c>
      <c r="K312">
        <v>-0.7</v>
      </c>
      <c r="L312">
        <v>196</v>
      </c>
      <c r="M312">
        <v>10.4</v>
      </c>
      <c r="N312">
        <v>167</v>
      </c>
      <c r="O312">
        <v>1.1519999999999999</v>
      </c>
      <c r="P312">
        <v>230</v>
      </c>
      <c r="Q312">
        <v>1.1970000000000001</v>
      </c>
      <c r="R312">
        <v>303</v>
      </c>
      <c r="S312">
        <v>0.308</v>
      </c>
      <c r="T312">
        <v>215</v>
      </c>
      <c r="U312">
        <v>0.94799999999999995</v>
      </c>
      <c r="V312">
        <v>115</v>
      </c>
      <c r="W312">
        <v>0.94599999999999995</v>
      </c>
      <c r="X312">
        <v>257</v>
      </c>
      <c r="Y312">
        <v>1.006</v>
      </c>
      <c r="Z312">
        <v>230</v>
      </c>
      <c r="AA312">
        <v>1.056</v>
      </c>
      <c r="AB312">
        <v>215</v>
      </c>
      <c r="AC312" s="21">
        <v>0.501</v>
      </c>
      <c r="AD312" s="21">
        <v>0.505</v>
      </c>
      <c r="AE312">
        <v>123</v>
      </c>
      <c r="AF312">
        <v>272</v>
      </c>
      <c r="AG312" s="21">
        <v>0.52800000000000002</v>
      </c>
      <c r="AH312">
        <v>306</v>
      </c>
      <c r="AI312">
        <v>16.837</v>
      </c>
      <c r="AJ312">
        <v>104</v>
      </c>
      <c r="AK312" s="21">
        <v>0.224</v>
      </c>
      <c r="AL312">
        <v>152</v>
      </c>
      <c r="AM312" s="21">
        <v>0.32400000000000001</v>
      </c>
      <c r="AN312">
        <v>221</v>
      </c>
      <c r="AO312" s="21">
        <v>0.32900000000000001</v>
      </c>
      <c r="AP312">
        <v>260</v>
      </c>
      <c r="AQ312" s="21">
        <v>0.35099999999999998</v>
      </c>
      <c r="AR312">
        <v>210</v>
      </c>
      <c r="AS312" s="21">
        <v>0.26900000000000002</v>
      </c>
      <c r="AT312">
        <v>102</v>
      </c>
      <c r="AU312" s="21">
        <v>0.73799999999999999</v>
      </c>
      <c r="AV312">
        <v>276</v>
      </c>
      <c r="AW312">
        <v>68.3</v>
      </c>
      <c r="AX312">
        <v>219</v>
      </c>
      <c r="AY312" s="21">
        <v>0.17299999999999999</v>
      </c>
      <c r="AZ312">
        <v>187</v>
      </c>
      <c r="BA312" s="21">
        <v>0.16600000000000001</v>
      </c>
    </row>
    <row r="313" spans="1:53" x14ac:dyDescent="0.25">
      <c r="A313" s="1" t="s">
        <v>176</v>
      </c>
      <c r="B313">
        <v>312</v>
      </c>
      <c r="C313">
        <v>-8.9</v>
      </c>
      <c r="D313">
        <v>189</v>
      </c>
      <c r="E313" t="s">
        <v>5</v>
      </c>
      <c r="F313">
        <v>328</v>
      </c>
      <c r="G313">
        <v>-6.9</v>
      </c>
      <c r="H313">
        <v>336</v>
      </c>
      <c r="I313">
        <v>-7.6</v>
      </c>
      <c r="J313">
        <v>19</v>
      </c>
      <c r="K313">
        <v>2.9</v>
      </c>
      <c r="L313">
        <v>183</v>
      </c>
      <c r="M313">
        <v>10.3</v>
      </c>
      <c r="N313">
        <v>81</v>
      </c>
      <c r="O313">
        <v>1.304</v>
      </c>
      <c r="P313">
        <v>313</v>
      </c>
      <c r="Q313">
        <v>1.375</v>
      </c>
      <c r="R313">
        <v>36</v>
      </c>
      <c r="S313">
        <v>0.72699999999999998</v>
      </c>
      <c r="T313">
        <v>112</v>
      </c>
      <c r="U313">
        <v>0.96799999999999997</v>
      </c>
      <c r="V313">
        <v>265</v>
      </c>
      <c r="W313">
        <v>0.97</v>
      </c>
      <c r="X313">
        <v>240</v>
      </c>
      <c r="Y313">
        <v>1.0109999999999999</v>
      </c>
      <c r="Z313">
        <v>294</v>
      </c>
      <c r="AA313">
        <v>1.085</v>
      </c>
      <c r="AB313">
        <v>242</v>
      </c>
      <c r="AC313" s="21">
        <v>0.497</v>
      </c>
      <c r="AD313" s="21">
        <v>0.46700000000000003</v>
      </c>
      <c r="AE313">
        <v>300</v>
      </c>
      <c r="AF313">
        <v>310</v>
      </c>
      <c r="AG313" s="21">
        <v>0.53700000000000003</v>
      </c>
      <c r="AH313">
        <v>344</v>
      </c>
      <c r="AI313">
        <v>15.249000000000001</v>
      </c>
      <c r="AJ313">
        <v>43</v>
      </c>
      <c r="AK313" s="21">
        <v>0.20699999999999999</v>
      </c>
      <c r="AL313">
        <v>149</v>
      </c>
      <c r="AM313" s="21">
        <v>0.32500000000000001</v>
      </c>
      <c r="AN313">
        <v>325</v>
      </c>
      <c r="AO313" s="21">
        <v>0.308</v>
      </c>
      <c r="AP313">
        <v>230</v>
      </c>
      <c r="AQ313" s="21">
        <v>0.34499999999999997</v>
      </c>
      <c r="AR313">
        <v>298</v>
      </c>
      <c r="AS313" s="21">
        <v>0.23599999999999999</v>
      </c>
      <c r="AT313">
        <v>213</v>
      </c>
      <c r="AU313" s="21">
        <v>0.71799999999999997</v>
      </c>
      <c r="AV313">
        <v>150</v>
      </c>
      <c r="AW313">
        <v>70.8</v>
      </c>
      <c r="AX313">
        <v>30</v>
      </c>
      <c r="AY313" s="21">
        <v>0.14399999999999999</v>
      </c>
      <c r="AZ313">
        <v>264</v>
      </c>
      <c r="BA313" s="21">
        <v>0.156</v>
      </c>
    </row>
    <row r="314" spans="1:53" x14ac:dyDescent="0.25">
      <c r="A314" s="1" t="s">
        <v>596</v>
      </c>
      <c r="B314">
        <v>313</v>
      </c>
      <c r="C314">
        <v>-8.9</v>
      </c>
      <c r="D314">
        <v>290</v>
      </c>
      <c r="E314">
        <v>-7</v>
      </c>
      <c r="F314">
        <v>349</v>
      </c>
      <c r="G314">
        <v>-8.1999999999999993</v>
      </c>
      <c r="H314">
        <v>274</v>
      </c>
      <c r="I314">
        <v>-4.9000000000000004</v>
      </c>
      <c r="J314">
        <v>359</v>
      </c>
      <c r="K314">
        <v>-4</v>
      </c>
      <c r="L314">
        <v>255</v>
      </c>
      <c r="M314">
        <v>10.9</v>
      </c>
      <c r="N314">
        <v>335</v>
      </c>
      <c r="O314">
        <v>0.84799999999999998</v>
      </c>
      <c r="P314">
        <v>128</v>
      </c>
      <c r="Q314">
        <v>1.05</v>
      </c>
      <c r="R314">
        <v>309</v>
      </c>
      <c r="S314">
        <v>0.28599999999999998</v>
      </c>
      <c r="T314">
        <v>324</v>
      </c>
      <c r="U314">
        <v>0.92</v>
      </c>
      <c r="V314">
        <v>211</v>
      </c>
      <c r="W314">
        <v>0.96199999999999997</v>
      </c>
      <c r="X314">
        <v>334</v>
      </c>
      <c r="Y314">
        <v>0.94899999999999995</v>
      </c>
      <c r="Z314">
        <v>144</v>
      </c>
      <c r="AA314">
        <v>1.0209999999999999</v>
      </c>
      <c r="AB314">
        <v>320</v>
      </c>
      <c r="AC314" s="21">
        <v>0.47299999999999998</v>
      </c>
      <c r="AD314" s="21">
        <v>0.48399999999999999</v>
      </c>
      <c r="AE314">
        <v>241</v>
      </c>
      <c r="AF314">
        <v>105</v>
      </c>
      <c r="AG314" s="21">
        <v>0.49299999999999999</v>
      </c>
      <c r="AH314">
        <v>150</v>
      </c>
      <c r="AI314">
        <v>20.199000000000002</v>
      </c>
      <c r="AJ314">
        <v>126</v>
      </c>
      <c r="AK314" s="21">
        <v>0.22900000000000001</v>
      </c>
      <c r="AL314">
        <v>285</v>
      </c>
      <c r="AM314" s="21">
        <v>0.27900000000000003</v>
      </c>
      <c r="AN314">
        <v>267</v>
      </c>
      <c r="AO314" s="21">
        <v>0.32</v>
      </c>
      <c r="AP314">
        <v>295</v>
      </c>
      <c r="AQ314" s="21">
        <v>0.35699999999999998</v>
      </c>
      <c r="AR314">
        <v>289</v>
      </c>
      <c r="AS314" s="21">
        <v>0.24</v>
      </c>
      <c r="AT314">
        <v>295</v>
      </c>
      <c r="AU314" s="21">
        <v>0.69699999999999995</v>
      </c>
      <c r="AV314">
        <v>291</v>
      </c>
      <c r="AW314">
        <v>67.900000000000006</v>
      </c>
      <c r="AX314">
        <v>309</v>
      </c>
      <c r="AY314" s="21">
        <v>0.188</v>
      </c>
      <c r="AZ314">
        <v>95</v>
      </c>
      <c r="BA314" s="21">
        <v>0.18</v>
      </c>
    </row>
    <row r="315" spans="1:53" x14ac:dyDescent="0.25">
      <c r="A315" s="1" t="s">
        <v>160</v>
      </c>
      <c r="B315">
        <v>314</v>
      </c>
      <c r="C315">
        <v>-9</v>
      </c>
      <c r="D315">
        <v>233</v>
      </c>
      <c r="E315">
        <v>-2.6</v>
      </c>
      <c r="F315">
        <v>322</v>
      </c>
      <c r="G315">
        <v>-6.6</v>
      </c>
      <c r="H315">
        <v>318</v>
      </c>
      <c r="I315">
        <v>-6.7</v>
      </c>
      <c r="J315">
        <v>296</v>
      </c>
      <c r="K315">
        <v>-1.7</v>
      </c>
      <c r="L315">
        <v>27</v>
      </c>
      <c r="M315">
        <v>8.4</v>
      </c>
      <c r="N315">
        <v>256</v>
      </c>
      <c r="O315">
        <v>1.008</v>
      </c>
      <c r="P315">
        <v>289</v>
      </c>
      <c r="Q315">
        <v>1.292</v>
      </c>
      <c r="R315">
        <v>278</v>
      </c>
      <c r="S315">
        <v>0.35699999999999998</v>
      </c>
      <c r="T315">
        <v>346</v>
      </c>
      <c r="U315">
        <v>0.90900000000000003</v>
      </c>
      <c r="V315">
        <v>111</v>
      </c>
      <c r="W315">
        <v>0.94499999999999995</v>
      </c>
      <c r="X315">
        <v>254</v>
      </c>
      <c r="Y315">
        <v>1.0069999999999999</v>
      </c>
      <c r="Z315">
        <v>269</v>
      </c>
      <c r="AA315">
        <v>1.07</v>
      </c>
      <c r="AB315">
        <v>115</v>
      </c>
      <c r="AC315" s="21">
        <v>0.52</v>
      </c>
      <c r="AD315" s="21">
        <v>0.503</v>
      </c>
      <c r="AE315">
        <v>134</v>
      </c>
      <c r="AF315">
        <v>281</v>
      </c>
      <c r="AG315" s="21">
        <v>0.53</v>
      </c>
      <c r="AH315">
        <v>273</v>
      </c>
      <c r="AI315">
        <v>17.876000000000001</v>
      </c>
      <c r="AJ315">
        <v>100</v>
      </c>
      <c r="AK315" s="21">
        <v>0.222</v>
      </c>
      <c r="AL315">
        <v>75</v>
      </c>
      <c r="AM315" s="21">
        <v>0.35499999999999998</v>
      </c>
      <c r="AN315">
        <v>117</v>
      </c>
      <c r="AO315" s="21">
        <v>0.34899999999999998</v>
      </c>
      <c r="AP315">
        <v>333</v>
      </c>
      <c r="AQ315" s="21">
        <v>0.36699999999999999</v>
      </c>
      <c r="AR315">
        <v>339</v>
      </c>
      <c r="AS315" s="21">
        <v>0.21</v>
      </c>
      <c r="AT315">
        <v>67</v>
      </c>
      <c r="AU315" s="21">
        <v>0.748</v>
      </c>
      <c r="AV315">
        <v>331</v>
      </c>
      <c r="AW315">
        <v>66.900000000000006</v>
      </c>
      <c r="AX315">
        <v>282</v>
      </c>
      <c r="AY315" s="21">
        <v>0.182</v>
      </c>
      <c r="AZ315">
        <v>199</v>
      </c>
      <c r="BA315" s="21">
        <v>0.16400000000000001</v>
      </c>
    </row>
    <row r="316" spans="1:53" x14ac:dyDescent="0.25">
      <c r="A316" s="1" t="s">
        <v>597</v>
      </c>
      <c r="B316">
        <v>315</v>
      </c>
      <c r="C316">
        <v>-9.1</v>
      </c>
      <c r="D316">
        <v>358</v>
      </c>
      <c r="E316">
        <v>-21.8</v>
      </c>
      <c r="F316">
        <v>239</v>
      </c>
      <c r="G316">
        <v>-3.8</v>
      </c>
      <c r="H316">
        <v>294</v>
      </c>
      <c r="I316">
        <v>-5.6</v>
      </c>
      <c r="J316">
        <v>341</v>
      </c>
      <c r="K316">
        <v>-2.8</v>
      </c>
      <c r="L316">
        <v>275</v>
      </c>
      <c r="M316">
        <v>11.1</v>
      </c>
      <c r="N316">
        <v>353</v>
      </c>
      <c r="O316">
        <v>0.78500000000000003</v>
      </c>
      <c r="P316">
        <v>170</v>
      </c>
      <c r="Q316">
        <v>1.111</v>
      </c>
      <c r="R316">
        <v>348</v>
      </c>
      <c r="S316">
        <v>0.111</v>
      </c>
      <c r="T316">
        <v>357</v>
      </c>
      <c r="U316">
        <v>0.89700000000000002</v>
      </c>
      <c r="V316">
        <v>250</v>
      </c>
      <c r="W316">
        <v>0.96699999999999997</v>
      </c>
      <c r="X316">
        <v>324</v>
      </c>
      <c r="Y316">
        <v>0.96</v>
      </c>
      <c r="Z316">
        <v>329</v>
      </c>
      <c r="AA316">
        <v>1.1020000000000001</v>
      </c>
      <c r="AB316">
        <v>263</v>
      </c>
      <c r="AC316" s="21">
        <v>0.49199999999999999</v>
      </c>
      <c r="AD316" s="21">
        <v>0.49</v>
      </c>
      <c r="AE316">
        <v>206</v>
      </c>
      <c r="AF316">
        <v>301</v>
      </c>
      <c r="AG316" s="21">
        <v>0.53400000000000003</v>
      </c>
      <c r="AH316">
        <v>131</v>
      </c>
      <c r="AI316">
        <v>20.544</v>
      </c>
      <c r="AJ316">
        <v>239</v>
      </c>
      <c r="AK316" s="21">
        <v>0.25700000000000001</v>
      </c>
      <c r="AL316">
        <v>185</v>
      </c>
      <c r="AM316" s="21">
        <v>0.314</v>
      </c>
      <c r="AN316">
        <v>92</v>
      </c>
      <c r="AO316" s="21">
        <v>0.35299999999999998</v>
      </c>
      <c r="AP316">
        <v>356</v>
      </c>
      <c r="AQ316" s="21">
        <v>0.38100000000000001</v>
      </c>
      <c r="AR316">
        <v>253</v>
      </c>
      <c r="AS316" s="21">
        <v>0.251</v>
      </c>
      <c r="AT316">
        <v>336</v>
      </c>
      <c r="AU316" s="21">
        <v>0.68100000000000005</v>
      </c>
      <c r="AV316">
        <v>256</v>
      </c>
      <c r="AW316">
        <v>68.599999999999994</v>
      </c>
      <c r="AX316">
        <v>353</v>
      </c>
      <c r="AY316" s="21">
        <v>0.20499999999999999</v>
      </c>
      <c r="AZ316">
        <v>156</v>
      </c>
      <c r="BA316" s="21">
        <v>0.17</v>
      </c>
    </row>
    <row r="317" spans="1:53" x14ac:dyDescent="0.25">
      <c r="A317" s="1" t="s">
        <v>598</v>
      </c>
      <c r="B317">
        <v>316</v>
      </c>
      <c r="C317">
        <v>-9.1</v>
      </c>
      <c r="D317">
        <v>185</v>
      </c>
      <c r="E317" t="s">
        <v>5</v>
      </c>
      <c r="F317">
        <v>342</v>
      </c>
      <c r="G317">
        <v>-7.6</v>
      </c>
      <c r="H317">
        <v>281</v>
      </c>
      <c r="I317">
        <v>-5.0999999999999996</v>
      </c>
      <c r="J317">
        <v>78</v>
      </c>
      <c r="K317">
        <v>1.4</v>
      </c>
      <c r="L317">
        <v>31</v>
      </c>
      <c r="M317">
        <v>8.5</v>
      </c>
      <c r="N317">
        <v>287</v>
      </c>
      <c r="O317">
        <v>0.95499999999999996</v>
      </c>
      <c r="P317">
        <v>240</v>
      </c>
      <c r="Q317">
        <v>1.2070000000000001</v>
      </c>
      <c r="R317">
        <v>150</v>
      </c>
      <c r="S317">
        <v>0.53900000000000003</v>
      </c>
      <c r="T317">
        <v>341</v>
      </c>
      <c r="U317">
        <v>0.91200000000000003</v>
      </c>
      <c r="V317">
        <v>270</v>
      </c>
      <c r="W317">
        <v>0.97099999999999997</v>
      </c>
      <c r="X317">
        <v>298</v>
      </c>
      <c r="Y317">
        <v>0.98299999999999998</v>
      </c>
      <c r="Z317">
        <v>246</v>
      </c>
      <c r="AA317">
        <v>1.0620000000000001</v>
      </c>
      <c r="AB317">
        <v>132</v>
      </c>
      <c r="AC317" s="21">
        <v>0.51600000000000001</v>
      </c>
      <c r="AD317" s="21">
        <v>0.5</v>
      </c>
      <c r="AE317">
        <v>154</v>
      </c>
      <c r="AF317">
        <v>203</v>
      </c>
      <c r="AG317" s="21">
        <v>0.51300000000000001</v>
      </c>
      <c r="AH317">
        <v>358</v>
      </c>
      <c r="AI317">
        <v>14.12</v>
      </c>
      <c r="AJ317">
        <v>79</v>
      </c>
      <c r="AK317" s="21">
        <v>0.217</v>
      </c>
      <c r="AL317">
        <v>85</v>
      </c>
      <c r="AM317" s="21">
        <v>0.34899999999999998</v>
      </c>
      <c r="AN317">
        <v>194</v>
      </c>
      <c r="AO317" s="21">
        <v>0.33400000000000002</v>
      </c>
      <c r="AP317">
        <v>92</v>
      </c>
      <c r="AQ317" s="21">
        <v>0.32300000000000001</v>
      </c>
      <c r="AR317">
        <v>297</v>
      </c>
      <c r="AS317" s="21">
        <v>0.23699999999999999</v>
      </c>
      <c r="AT317">
        <v>236</v>
      </c>
      <c r="AU317" s="21">
        <v>0.71199999999999997</v>
      </c>
      <c r="AV317">
        <v>227</v>
      </c>
      <c r="AW317">
        <v>69.2</v>
      </c>
      <c r="AX317">
        <v>322</v>
      </c>
      <c r="AY317" s="21">
        <v>0.192</v>
      </c>
      <c r="AZ317">
        <v>233</v>
      </c>
      <c r="BA317" s="21">
        <v>0.16</v>
      </c>
    </row>
    <row r="318" spans="1:53" x14ac:dyDescent="0.25">
      <c r="A318" s="1" t="s">
        <v>599</v>
      </c>
      <c r="B318">
        <v>317</v>
      </c>
      <c r="C318">
        <v>-9.3000000000000007</v>
      </c>
      <c r="D318">
        <v>340</v>
      </c>
      <c r="E318">
        <v>-16.399999999999999</v>
      </c>
      <c r="F318">
        <v>346</v>
      </c>
      <c r="G318">
        <v>-7.7</v>
      </c>
      <c r="H318">
        <v>325</v>
      </c>
      <c r="I318">
        <v>-7.2</v>
      </c>
      <c r="J318">
        <v>110</v>
      </c>
      <c r="K318">
        <v>1</v>
      </c>
      <c r="L318">
        <v>156</v>
      </c>
      <c r="M318">
        <v>10.1</v>
      </c>
      <c r="N318">
        <v>132</v>
      </c>
      <c r="O318">
        <v>1.2190000000000001</v>
      </c>
      <c r="P318">
        <v>280</v>
      </c>
      <c r="Q318">
        <v>1.2789999999999999</v>
      </c>
      <c r="R318">
        <v>116</v>
      </c>
      <c r="S318">
        <v>0.57099999999999995</v>
      </c>
      <c r="T318">
        <v>267</v>
      </c>
      <c r="U318">
        <v>0.93700000000000006</v>
      </c>
      <c r="V318">
        <v>342</v>
      </c>
      <c r="W318">
        <v>0.99299999999999999</v>
      </c>
      <c r="X318">
        <v>268</v>
      </c>
      <c r="Y318">
        <v>0.999</v>
      </c>
      <c r="Z318">
        <v>197</v>
      </c>
      <c r="AA318">
        <v>1.0449999999999999</v>
      </c>
      <c r="AB318">
        <v>181</v>
      </c>
      <c r="AC318" s="21">
        <v>0.50700000000000001</v>
      </c>
      <c r="AD318" s="21">
        <v>0.496</v>
      </c>
      <c r="AE318">
        <v>175</v>
      </c>
      <c r="AF318">
        <v>117</v>
      </c>
      <c r="AG318" s="21">
        <v>0.496</v>
      </c>
      <c r="AH318">
        <v>313</v>
      </c>
      <c r="AI318">
        <v>16.739999999999998</v>
      </c>
      <c r="AJ318">
        <v>7</v>
      </c>
      <c r="AK318" s="21">
        <v>0.17499999999999999</v>
      </c>
      <c r="AL318">
        <v>10</v>
      </c>
      <c r="AM318" s="21">
        <v>0.40100000000000002</v>
      </c>
      <c r="AN318">
        <v>104</v>
      </c>
      <c r="AO318" s="21">
        <v>0.35099999999999998</v>
      </c>
      <c r="AP318">
        <v>75</v>
      </c>
      <c r="AQ318" s="21">
        <v>0.31900000000000001</v>
      </c>
      <c r="AR318">
        <v>312</v>
      </c>
      <c r="AS318" s="21">
        <v>0.23200000000000001</v>
      </c>
      <c r="AT318">
        <v>275</v>
      </c>
      <c r="AU318" s="21">
        <v>0.70299999999999996</v>
      </c>
      <c r="AV318">
        <v>142</v>
      </c>
      <c r="AW318">
        <v>70.900000000000006</v>
      </c>
      <c r="AX318">
        <v>194</v>
      </c>
      <c r="AY318" s="21">
        <v>0.17</v>
      </c>
      <c r="AZ318">
        <v>309</v>
      </c>
      <c r="BA318" s="21">
        <v>0.14799999999999999</v>
      </c>
    </row>
    <row r="319" spans="1:53" x14ac:dyDescent="0.25">
      <c r="A319" s="1" t="s">
        <v>248</v>
      </c>
      <c r="B319">
        <v>318</v>
      </c>
      <c r="C319">
        <v>-9.4</v>
      </c>
      <c r="D319">
        <v>276</v>
      </c>
      <c r="E319">
        <v>-5.6</v>
      </c>
      <c r="F319">
        <v>312</v>
      </c>
      <c r="G319">
        <v>-6.2</v>
      </c>
      <c r="H319">
        <v>301</v>
      </c>
      <c r="I319">
        <v>-5.8</v>
      </c>
      <c r="J319">
        <v>118</v>
      </c>
      <c r="K319">
        <v>0.9</v>
      </c>
      <c r="L319">
        <v>79</v>
      </c>
      <c r="M319">
        <v>9.3000000000000007</v>
      </c>
      <c r="N319">
        <v>244</v>
      </c>
      <c r="O319">
        <v>1.022</v>
      </c>
      <c r="P319">
        <v>357</v>
      </c>
      <c r="Q319">
        <v>1.633</v>
      </c>
      <c r="R319">
        <v>142</v>
      </c>
      <c r="S319">
        <v>0.54600000000000004</v>
      </c>
      <c r="T319">
        <v>329</v>
      </c>
      <c r="U319">
        <v>0.91900000000000004</v>
      </c>
      <c r="V319">
        <v>316</v>
      </c>
      <c r="W319">
        <v>0.98199999999999998</v>
      </c>
      <c r="X319">
        <v>230</v>
      </c>
      <c r="Y319">
        <v>1.014</v>
      </c>
      <c r="Z319">
        <v>308</v>
      </c>
      <c r="AA319">
        <v>1.0900000000000001</v>
      </c>
      <c r="AB319">
        <v>79</v>
      </c>
      <c r="AC319" s="21">
        <v>0.53100000000000003</v>
      </c>
      <c r="AD319" s="21">
        <v>0.52</v>
      </c>
      <c r="AE319">
        <v>68</v>
      </c>
      <c r="AF319">
        <v>303</v>
      </c>
      <c r="AG319" s="21">
        <v>0.53500000000000003</v>
      </c>
      <c r="AH319">
        <v>364</v>
      </c>
      <c r="AI319">
        <v>13.212</v>
      </c>
      <c r="AJ319">
        <v>29</v>
      </c>
      <c r="AK319" s="21">
        <v>0.19900000000000001</v>
      </c>
      <c r="AL319">
        <v>11</v>
      </c>
      <c r="AM319" s="21">
        <v>0.40100000000000002</v>
      </c>
      <c r="AN319">
        <v>8</v>
      </c>
      <c r="AO319" s="21">
        <v>0.38600000000000001</v>
      </c>
      <c r="AP319">
        <v>225</v>
      </c>
      <c r="AQ319" s="21">
        <v>0.34499999999999997</v>
      </c>
      <c r="AR319">
        <v>337</v>
      </c>
      <c r="AS319" s="21">
        <v>0.214</v>
      </c>
      <c r="AT319">
        <v>74</v>
      </c>
      <c r="AU319" s="21">
        <v>0.746</v>
      </c>
      <c r="AV319">
        <v>305</v>
      </c>
      <c r="AW319">
        <v>67.599999999999994</v>
      </c>
      <c r="AX319">
        <v>240</v>
      </c>
      <c r="AY319" s="21">
        <v>0.17599999999999999</v>
      </c>
      <c r="AZ319">
        <v>347</v>
      </c>
      <c r="BA319" s="21">
        <v>0.13300000000000001</v>
      </c>
    </row>
    <row r="320" spans="1:53" x14ac:dyDescent="0.25">
      <c r="A320" s="1" t="s">
        <v>223</v>
      </c>
      <c r="B320">
        <v>319</v>
      </c>
      <c r="C320">
        <v>-9.5</v>
      </c>
      <c r="D320">
        <v>318</v>
      </c>
      <c r="E320">
        <v>-12.2</v>
      </c>
      <c r="F320">
        <v>212</v>
      </c>
      <c r="G320">
        <v>-3.2</v>
      </c>
      <c r="H320">
        <v>309</v>
      </c>
      <c r="I320">
        <v>-6.3</v>
      </c>
      <c r="J320">
        <v>348</v>
      </c>
      <c r="K320">
        <v>-3.1</v>
      </c>
      <c r="L320">
        <v>168</v>
      </c>
      <c r="M320">
        <v>10.199999999999999</v>
      </c>
      <c r="N320">
        <v>332</v>
      </c>
      <c r="O320">
        <v>0.85799999999999998</v>
      </c>
      <c r="P320">
        <v>181</v>
      </c>
      <c r="Q320">
        <v>1.137</v>
      </c>
      <c r="R320">
        <v>309</v>
      </c>
      <c r="S320">
        <v>0.28599999999999998</v>
      </c>
      <c r="T320">
        <v>203</v>
      </c>
      <c r="U320">
        <v>0.95</v>
      </c>
      <c r="V320">
        <v>95</v>
      </c>
      <c r="W320">
        <v>0.94199999999999995</v>
      </c>
      <c r="X320">
        <v>330</v>
      </c>
      <c r="Y320">
        <v>0.95399999999999996</v>
      </c>
      <c r="Z320">
        <v>307</v>
      </c>
      <c r="AA320">
        <v>1.089</v>
      </c>
      <c r="AB320">
        <v>347</v>
      </c>
      <c r="AC320" s="21">
        <v>0.45700000000000002</v>
      </c>
      <c r="AD320" s="21">
        <v>0.439</v>
      </c>
      <c r="AE320">
        <v>351</v>
      </c>
      <c r="AF320">
        <v>315</v>
      </c>
      <c r="AG320" s="21">
        <v>0.54</v>
      </c>
      <c r="AH320">
        <v>208</v>
      </c>
      <c r="AI320">
        <v>19.114000000000001</v>
      </c>
      <c r="AJ320">
        <v>361</v>
      </c>
      <c r="AK320" s="21">
        <v>0.316</v>
      </c>
      <c r="AL320">
        <v>286</v>
      </c>
      <c r="AM320" s="21">
        <v>0.27900000000000003</v>
      </c>
      <c r="AN320">
        <v>348</v>
      </c>
      <c r="AO320" s="21">
        <v>0.29699999999999999</v>
      </c>
      <c r="AP320">
        <v>359</v>
      </c>
      <c r="AQ320" s="21">
        <v>0.38500000000000001</v>
      </c>
      <c r="AR320">
        <v>200</v>
      </c>
      <c r="AS320" s="21">
        <v>0.27300000000000002</v>
      </c>
      <c r="AT320">
        <v>273</v>
      </c>
      <c r="AU320" s="21">
        <v>0.70399999999999996</v>
      </c>
      <c r="AV320">
        <v>36</v>
      </c>
      <c r="AW320">
        <v>73.599999999999994</v>
      </c>
      <c r="AX320">
        <v>270</v>
      </c>
      <c r="AY320" s="21">
        <v>0.18</v>
      </c>
      <c r="AZ320">
        <v>96</v>
      </c>
      <c r="BA320" s="21">
        <v>0.18</v>
      </c>
    </row>
    <row r="321" spans="1:53" x14ac:dyDescent="0.25">
      <c r="A321" s="1" t="s">
        <v>24</v>
      </c>
      <c r="B321">
        <v>320</v>
      </c>
      <c r="C321">
        <v>-9.6</v>
      </c>
      <c r="D321">
        <v>355</v>
      </c>
      <c r="E321">
        <v>-20.6</v>
      </c>
      <c r="F321">
        <v>287</v>
      </c>
      <c r="G321">
        <v>-5.3</v>
      </c>
      <c r="H321">
        <v>326</v>
      </c>
      <c r="I321">
        <v>-7.3</v>
      </c>
      <c r="J321">
        <v>353</v>
      </c>
      <c r="K321">
        <v>-3.3</v>
      </c>
      <c r="L321">
        <v>29</v>
      </c>
      <c r="M321">
        <v>8.4</v>
      </c>
      <c r="N321">
        <v>336</v>
      </c>
      <c r="O321">
        <v>0.84499999999999997</v>
      </c>
      <c r="P321">
        <v>354</v>
      </c>
      <c r="Q321">
        <v>1.607</v>
      </c>
      <c r="R321">
        <v>251</v>
      </c>
      <c r="S321">
        <v>0.4</v>
      </c>
      <c r="T321">
        <v>317</v>
      </c>
      <c r="U321">
        <v>0.92700000000000005</v>
      </c>
      <c r="V321">
        <v>349</v>
      </c>
      <c r="W321">
        <v>0.997</v>
      </c>
      <c r="X321">
        <v>236</v>
      </c>
      <c r="Y321">
        <v>1.0129999999999999</v>
      </c>
      <c r="Z321">
        <v>361</v>
      </c>
      <c r="AA321">
        <v>1.169</v>
      </c>
      <c r="AB321">
        <v>227</v>
      </c>
      <c r="AC321" s="21">
        <v>0.5</v>
      </c>
      <c r="AD321" s="21">
        <v>0.47799999999999998</v>
      </c>
      <c r="AE321">
        <v>264</v>
      </c>
      <c r="AF321">
        <v>345</v>
      </c>
      <c r="AG321" s="21">
        <v>0.55000000000000004</v>
      </c>
      <c r="AH321">
        <v>102</v>
      </c>
      <c r="AI321">
        <v>21.265000000000001</v>
      </c>
      <c r="AJ321">
        <v>324</v>
      </c>
      <c r="AK321" s="21">
        <v>0.28299999999999997</v>
      </c>
      <c r="AL321">
        <v>48</v>
      </c>
      <c r="AM321" s="21">
        <v>0.373</v>
      </c>
      <c r="AN321">
        <v>145</v>
      </c>
      <c r="AO321" s="21">
        <v>0.34399999999999997</v>
      </c>
      <c r="AP321">
        <v>253</v>
      </c>
      <c r="AQ321" s="21">
        <v>0.35</v>
      </c>
      <c r="AR321">
        <v>352</v>
      </c>
      <c r="AS321" s="21">
        <v>0.191</v>
      </c>
      <c r="AT321">
        <v>334</v>
      </c>
      <c r="AU321" s="21">
        <v>0.68200000000000005</v>
      </c>
      <c r="AV321">
        <v>188</v>
      </c>
      <c r="AW321">
        <v>70.2</v>
      </c>
      <c r="AX321">
        <v>122</v>
      </c>
      <c r="AY321" s="21">
        <v>0.159</v>
      </c>
      <c r="AZ321">
        <v>343</v>
      </c>
      <c r="BA321" s="21">
        <v>0.13500000000000001</v>
      </c>
    </row>
    <row r="322" spans="1:53" x14ac:dyDescent="0.25">
      <c r="A322" s="1" t="s">
        <v>54</v>
      </c>
      <c r="B322">
        <v>321</v>
      </c>
      <c r="C322">
        <v>-9.6</v>
      </c>
      <c r="D322">
        <v>353</v>
      </c>
      <c r="E322">
        <v>-20</v>
      </c>
      <c r="F322">
        <v>348</v>
      </c>
      <c r="G322">
        <v>-7.8</v>
      </c>
      <c r="H322">
        <v>330</v>
      </c>
      <c r="I322">
        <v>-7.5</v>
      </c>
      <c r="J322">
        <v>101</v>
      </c>
      <c r="K322">
        <v>1.1000000000000001</v>
      </c>
      <c r="L322">
        <v>276</v>
      </c>
      <c r="M322">
        <v>11.1</v>
      </c>
      <c r="N322">
        <v>323</v>
      </c>
      <c r="O322">
        <v>0.88800000000000001</v>
      </c>
      <c r="P322">
        <v>234</v>
      </c>
      <c r="Q322">
        <v>1.2010000000000001</v>
      </c>
      <c r="R322">
        <v>50</v>
      </c>
      <c r="S322">
        <v>0.66700000000000004</v>
      </c>
      <c r="T322">
        <v>172</v>
      </c>
      <c r="U322">
        <v>0.95699999999999996</v>
      </c>
      <c r="V322">
        <v>210</v>
      </c>
      <c r="W322">
        <v>0.96199999999999997</v>
      </c>
      <c r="X322">
        <v>331</v>
      </c>
      <c r="Y322">
        <v>0.95299999999999996</v>
      </c>
      <c r="Z322">
        <v>195</v>
      </c>
      <c r="AA322">
        <v>1.0449999999999999</v>
      </c>
      <c r="AB322">
        <v>342</v>
      </c>
      <c r="AC322" s="21">
        <v>0.45900000000000002</v>
      </c>
      <c r="AD322" s="21">
        <v>0.45500000000000002</v>
      </c>
      <c r="AE322">
        <v>338</v>
      </c>
      <c r="AF322">
        <v>147</v>
      </c>
      <c r="AG322" s="21">
        <v>0.503</v>
      </c>
      <c r="AH322">
        <v>129</v>
      </c>
      <c r="AI322">
        <v>20.584</v>
      </c>
      <c r="AJ322">
        <v>260</v>
      </c>
      <c r="AK322" s="21">
        <v>0.26</v>
      </c>
      <c r="AL322">
        <v>299</v>
      </c>
      <c r="AM322" s="21">
        <v>0.27300000000000002</v>
      </c>
      <c r="AN322">
        <v>309</v>
      </c>
      <c r="AO322" s="21">
        <v>0.312</v>
      </c>
      <c r="AP322">
        <v>198</v>
      </c>
      <c r="AQ322" s="21">
        <v>0.34100000000000003</v>
      </c>
      <c r="AR322">
        <v>164</v>
      </c>
      <c r="AS322" s="21">
        <v>0.28199999999999997</v>
      </c>
      <c r="AT322">
        <v>17</v>
      </c>
      <c r="AU322" s="21">
        <v>0.77100000000000002</v>
      </c>
      <c r="AV322">
        <v>336</v>
      </c>
      <c r="AW322">
        <v>66.8</v>
      </c>
      <c r="AX322">
        <v>264</v>
      </c>
      <c r="AY322" s="21">
        <v>0.17899999999999999</v>
      </c>
      <c r="AZ322">
        <v>333</v>
      </c>
      <c r="BA322" s="21">
        <v>0.14099999999999999</v>
      </c>
    </row>
    <row r="323" spans="1:53" x14ac:dyDescent="0.25">
      <c r="A323" s="1" t="s">
        <v>600</v>
      </c>
      <c r="B323">
        <v>322</v>
      </c>
      <c r="C323">
        <v>-9.6</v>
      </c>
      <c r="D323">
        <v>345</v>
      </c>
      <c r="E323">
        <v>-17.600000000000001</v>
      </c>
      <c r="F323">
        <v>307</v>
      </c>
      <c r="G323">
        <v>-6</v>
      </c>
      <c r="H323">
        <v>356</v>
      </c>
      <c r="I323">
        <v>-9.6999999999999993</v>
      </c>
      <c r="J323">
        <v>297</v>
      </c>
      <c r="K323">
        <v>-1.8</v>
      </c>
      <c r="L323">
        <v>271</v>
      </c>
      <c r="M323">
        <v>11.1</v>
      </c>
      <c r="N323">
        <v>124</v>
      </c>
      <c r="O323">
        <v>1.226</v>
      </c>
      <c r="P323">
        <v>352</v>
      </c>
      <c r="Q323">
        <v>1.5860000000000001</v>
      </c>
      <c r="R323">
        <v>309</v>
      </c>
      <c r="S323">
        <v>0.28599999999999998</v>
      </c>
      <c r="T323">
        <v>64</v>
      </c>
      <c r="U323">
        <v>0.98199999999999998</v>
      </c>
      <c r="V323">
        <v>315</v>
      </c>
      <c r="W323">
        <v>0.98199999999999998</v>
      </c>
      <c r="X323">
        <v>99</v>
      </c>
      <c r="Y323">
        <v>1.071</v>
      </c>
      <c r="Z323">
        <v>362</v>
      </c>
      <c r="AA323">
        <v>1.1779999999999999</v>
      </c>
      <c r="AB323">
        <v>199</v>
      </c>
      <c r="AC323" s="21">
        <v>0.504</v>
      </c>
      <c r="AD323" s="21">
        <v>0.52</v>
      </c>
      <c r="AE323">
        <v>68</v>
      </c>
      <c r="AF323">
        <v>361</v>
      </c>
      <c r="AG323" s="21">
        <v>0.56999999999999995</v>
      </c>
      <c r="AH323">
        <v>85</v>
      </c>
      <c r="AI323">
        <v>21.625</v>
      </c>
      <c r="AJ323">
        <v>255</v>
      </c>
      <c r="AK323" s="21">
        <v>0.25900000000000001</v>
      </c>
      <c r="AL323">
        <v>7</v>
      </c>
      <c r="AM323" s="21">
        <v>0.41299999999999998</v>
      </c>
      <c r="AN323">
        <v>41</v>
      </c>
      <c r="AO323" s="21">
        <v>0.36799999999999999</v>
      </c>
      <c r="AP323">
        <v>345</v>
      </c>
      <c r="AQ323" s="21">
        <v>0.373</v>
      </c>
      <c r="AR323">
        <v>185</v>
      </c>
      <c r="AS323" s="21">
        <v>0.27800000000000002</v>
      </c>
      <c r="AT323">
        <v>340</v>
      </c>
      <c r="AU323" s="21">
        <v>0.67600000000000005</v>
      </c>
      <c r="AV323">
        <v>306</v>
      </c>
      <c r="AW323">
        <v>67.599999999999994</v>
      </c>
      <c r="AX323">
        <v>79</v>
      </c>
      <c r="AY323" s="21">
        <v>0.154</v>
      </c>
      <c r="AZ323">
        <v>272</v>
      </c>
      <c r="BA323" s="21">
        <v>0.155</v>
      </c>
    </row>
    <row r="324" spans="1:53" x14ac:dyDescent="0.25">
      <c r="A324" s="1" t="s">
        <v>162</v>
      </c>
      <c r="B324">
        <v>323</v>
      </c>
      <c r="C324">
        <v>-9.6999999999999993</v>
      </c>
      <c r="D324">
        <v>320</v>
      </c>
      <c r="E324">
        <v>-12.4</v>
      </c>
      <c r="F324">
        <v>297</v>
      </c>
      <c r="G324">
        <v>-5.7</v>
      </c>
      <c r="H324">
        <v>286</v>
      </c>
      <c r="I324">
        <v>-5.2</v>
      </c>
      <c r="J324">
        <v>135</v>
      </c>
      <c r="K324">
        <v>0.7</v>
      </c>
      <c r="L324">
        <v>188</v>
      </c>
      <c r="M324">
        <v>10.4</v>
      </c>
      <c r="N324">
        <v>144</v>
      </c>
      <c r="O324">
        <v>1.19</v>
      </c>
      <c r="P324">
        <v>185</v>
      </c>
      <c r="Q324">
        <v>1.143</v>
      </c>
      <c r="R324">
        <v>18</v>
      </c>
      <c r="S324">
        <v>0.77800000000000002</v>
      </c>
      <c r="T324">
        <v>55</v>
      </c>
      <c r="U324">
        <v>0.98499999999999999</v>
      </c>
      <c r="V324">
        <v>97</v>
      </c>
      <c r="W324">
        <v>0.94199999999999995</v>
      </c>
      <c r="X324">
        <v>310</v>
      </c>
      <c r="Y324">
        <v>0.97799999999999998</v>
      </c>
      <c r="Z324">
        <v>283</v>
      </c>
      <c r="AA324">
        <v>1.0780000000000001</v>
      </c>
      <c r="AB324">
        <v>335</v>
      </c>
      <c r="AC324" s="21">
        <v>0.46300000000000002</v>
      </c>
      <c r="AD324" s="21">
        <v>0.45800000000000002</v>
      </c>
      <c r="AE324">
        <v>332</v>
      </c>
      <c r="AF324">
        <v>306</v>
      </c>
      <c r="AG324" s="21">
        <v>0.53700000000000003</v>
      </c>
      <c r="AH324">
        <v>324</v>
      </c>
      <c r="AI324">
        <v>16.36</v>
      </c>
      <c r="AJ324">
        <v>113</v>
      </c>
      <c r="AK324" s="21">
        <v>0.22700000000000001</v>
      </c>
      <c r="AL324">
        <v>150</v>
      </c>
      <c r="AM324" s="21">
        <v>0.32500000000000001</v>
      </c>
      <c r="AN324">
        <v>294</v>
      </c>
      <c r="AO324" s="21">
        <v>0.315</v>
      </c>
      <c r="AP324">
        <v>312</v>
      </c>
      <c r="AQ324" s="21">
        <v>0.36</v>
      </c>
      <c r="AR324">
        <v>205</v>
      </c>
      <c r="AS324" s="21">
        <v>0.27100000000000002</v>
      </c>
      <c r="AT324">
        <v>219</v>
      </c>
      <c r="AU324" s="21">
        <v>0.71699999999999997</v>
      </c>
      <c r="AV324">
        <v>280</v>
      </c>
      <c r="AW324">
        <v>68.2</v>
      </c>
      <c r="AX324">
        <v>63</v>
      </c>
      <c r="AY324" s="21">
        <v>0.152</v>
      </c>
      <c r="AZ324">
        <v>100</v>
      </c>
      <c r="BA324" s="21">
        <v>0.17799999999999999</v>
      </c>
    </row>
    <row r="325" spans="1:53" x14ac:dyDescent="0.25">
      <c r="A325" s="1" t="s">
        <v>139</v>
      </c>
      <c r="B325">
        <v>324</v>
      </c>
      <c r="C325">
        <v>-9.6999999999999993</v>
      </c>
      <c r="D325">
        <v>245</v>
      </c>
      <c r="E325">
        <v>-3.3</v>
      </c>
      <c r="F325">
        <v>304</v>
      </c>
      <c r="G325">
        <v>-6</v>
      </c>
      <c r="H325">
        <v>341</v>
      </c>
      <c r="I325">
        <v>-8.1999999999999993</v>
      </c>
      <c r="J325">
        <v>285</v>
      </c>
      <c r="K325">
        <v>-1.5</v>
      </c>
      <c r="L325">
        <v>133</v>
      </c>
      <c r="M325">
        <v>9.9</v>
      </c>
      <c r="N325">
        <v>286</v>
      </c>
      <c r="O325">
        <v>0.96</v>
      </c>
      <c r="P325">
        <v>349</v>
      </c>
      <c r="Q325">
        <v>1.552</v>
      </c>
      <c r="R325">
        <v>321</v>
      </c>
      <c r="S325">
        <v>0.27300000000000002</v>
      </c>
      <c r="T325">
        <v>231</v>
      </c>
      <c r="U325">
        <v>0.94599999999999995</v>
      </c>
      <c r="V325">
        <v>364</v>
      </c>
      <c r="W325">
        <v>1.0349999999999999</v>
      </c>
      <c r="X325">
        <v>267</v>
      </c>
      <c r="Y325">
        <v>0.999</v>
      </c>
      <c r="Z325">
        <v>311</v>
      </c>
      <c r="AA325">
        <v>1.093</v>
      </c>
      <c r="AB325">
        <v>251</v>
      </c>
      <c r="AC325" s="21">
        <v>0.49399999999999999</v>
      </c>
      <c r="AD325" s="21">
        <v>0.48499999999999999</v>
      </c>
      <c r="AE325">
        <v>232</v>
      </c>
      <c r="AF325">
        <v>78</v>
      </c>
      <c r="AG325" s="21">
        <v>0.48599999999999999</v>
      </c>
      <c r="AH325">
        <v>196</v>
      </c>
      <c r="AI325">
        <v>19.439</v>
      </c>
      <c r="AJ325">
        <v>331</v>
      </c>
      <c r="AK325" s="21">
        <v>0.28499999999999998</v>
      </c>
      <c r="AL325">
        <v>118</v>
      </c>
      <c r="AM325" s="21">
        <v>0.33400000000000002</v>
      </c>
      <c r="AN325">
        <v>124</v>
      </c>
      <c r="AO325" s="21">
        <v>0.34799999999999998</v>
      </c>
      <c r="AP325">
        <v>101</v>
      </c>
      <c r="AQ325" s="21">
        <v>0.32500000000000001</v>
      </c>
      <c r="AR325">
        <v>222</v>
      </c>
      <c r="AS325" s="21">
        <v>0.26400000000000001</v>
      </c>
      <c r="AT325">
        <v>150</v>
      </c>
      <c r="AU325" s="21">
        <v>0.73</v>
      </c>
      <c r="AV325">
        <v>354</v>
      </c>
      <c r="AW325">
        <v>66</v>
      </c>
      <c r="AX325">
        <v>251</v>
      </c>
      <c r="AY325" s="21">
        <v>0.17799999999999999</v>
      </c>
      <c r="AZ325">
        <v>364</v>
      </c>
      <c r="BA325" s="21">
        <v>0.10199999999999999</v>
      </c>
    </row>
    <row r="326" spans="1:53" x14ac:dyDescent="0.25">
      <c r="A326" s="1" t="s">
        <v>48</v>
      </c>
      <c r="B326">
        <v>325</v>
      </c>
      <c r="C326">
        <v>-9.8000000000000007</v>
      </c>
      <c r="D326">
        <v>360</v>
      </c>
      <c r="E326">
        <v>-22</v>
      </c>
      <c r="F326">
        <v>289</v>
      </c>
      <c r="G326">
        <v>-5.3</v>
      </c>
      <c r="H326">
        <v>328</v>
      </c>
      <c r="I326">
        <v>-7.3</v>
      </c>
      <c r="J326">
        <v>165</v>
      </c>
      <c r="K326">
        <v>0.3</v>
      </c>
      <c r="L326">
        <v>264</v>
      </c>
      <c r="M326">
        <v>11</v>
      </c>
      <c r="N326">
        <v>333</v>
      </c>
      <c r="O326">
        <v>0.85399999999999998</v>
      </c>
      <c r="P326">
        <v>115</v>
      </c>
      <c r="Q326">
        <v>1.0229999999999999</v>
      </c>
      <c r="R326">
        <v>77</v>
      </c>
      <c r="S326">
        <v>0.625</v>
      </c>
      <c r="T326">
        <v>327</v>
      </c>
      <c r="U326">
        <v>0.91900000000000004</v>
      </c>
      <c r="V326">
        <v>80</v>
      </c>
      <c r="W326">
        <v>0.93700000000000006</v>
      </c>
      <c r="X326">
        <v>280</v>
      </c>
      <c r="Y326">
        <v>0.99299999999999999</v>
      </c>
      <c r="Z326">
        <v>319</v>
      </c>
      <c r="AA326">
        <v>1.0980000000000001</v>
      </c>
      <c r="AB326">
        <v>202</v>
      </c>
      <c r="AC326" s="21">
        <v>0.503</v>
      </c>
      <c r="AD326" s="21">
        <v>0.48799999999999999</v>
      </c>
      <c r="AE326">
        <v>216</v>
      </c>
      <c r="AF326">
        <v>328</v>
      </c>
      <c r="AG326" s="21">
        <v>0.54300000000000004</v>
      </c>
      <c r="AH326">
        <v>232</v>
      </c>
      <c r="AI326">
        <v>18.754999999999999</v>
      </c>
      <c r="AJ326">
        <v>364</v>
      </c>
      <c r="AK326" s="21">
        <v>0.34</v>
      </c>
      <c r="AL326">
        <v>228</v>
      </c>
      <c r="AM326" s="21">
        <v>0.29699999999999999</v>
      </c>
      <c r="AN326">
        <v>199</v>
      </c>
      <c r="AO326" s="21">
        <v>0.33300000000000002</v>
      </c>
      <c r="AP326">
        <v>200</v>
      </c>
      <c r="AQ326" s="21">
        <v>0.34100000000000003</v>
      </c>
      <c r="AR326">
        <v>309</v>
      </c>
      <c r="AS326" s="21">
        <v>0.23200000000000001</v>
      </c>
      <c r="AT326">
        <v>165</v>
      </c>
      <c r="AU326" s="21">
        <v>0.72599999999999998</v>
      </c>
      <c r="AV326">
        <v>149</v>
      </c>
      <c r="AW326">
        <v>70.8</v>
      </c>
      <c r="AX326">
        <v>272</v>
      </c>
      <c r="AY326" s="21">
        <v>0.18</v>
      </c>
      <c r="AZ326">
        <v>148</v>
      </c>
      <c r="BA326" s="21">
        <v>0.17100000000000001</v>
      </c>
    </row>
    <row r="327" spans="1:53" x14ac:dyDescent="0.25">
      <c r="A327" s="1" t="s">
        <v>117</v>
      </c>
      <c r="B327">
        <v>326</v>
      </c>
      <c r="C327">
        <v>-10.1</v>
      </c>
      <c r="D327">
        <v>317</v>
      </c>
      <c r="E327">
        <v>-12.1</v>
      </c>
      <c r="F327">
        <v>240</v>
      </c>
      <c r="G327">
        <v>-3.8</v>
      </c>
      <c r="H327">
        <v>250</v>
      </c>
      <c r="I327">
        <v>-4.2</v>
      </c>
      <c r="J327">
        <v>244</v>
      </c>
      <c r="K327">
        <v>-0.9</v>
      </c>
      <c r="L327">
        <v>238</v>
      </c>
      <c r="M327">
        <v>10.7</v>
      </c>
      <c r="N327">
        <v>298</v>
      </c>
      <c r="O327">
        <v>0.93500000000000005</v>
      </c>
      <c r="P327">
        <v>360</v>
      </c>
      <c r="Q327">
        <v>1.6759999999999999</v>
      </c>
      <c r="R327">
        <v>158</v>
      </c>
      <c r="S327">
        <v>0.5</v>
      </c>
      <c r="T327">
        <v>219</v>
      </c>
      <c r="U327">
        <v>0.94699999999999995</v>
      </c>
      <c r="V327">
        <v>319</v>
      </c>
      <c r="W327">
        <v>0.98299999999999998</v>
      </c>
      <c r="X327">
        <v>287</v>
      </c>
      <c r="Y327">
        <v>0.99</v>
      </c>
      <c r="Z327">
        <v>347</v>
      </c>
      <c r="AA327">
        <v>1.1319999999999999</v>
      </c>
      <c r="AB327">
        <v>311</v>
      </c>
      <c r="AC327" s="21">
        <v>0.47699999999999998</v>
      </c>
      <c r="AD327" s="21">
        <v>0.46200000000000002</v>
      </c>
      <c r="AE327">
        <v>316</v>
      </c>
      <c r="AF327">
        <v>351</v>
      </c>
      <c r="AG327" s="21">
        <v>0.56000000000000005</v>
      </c>
      <c r="AH327">
        <v>182</v>
      </c>
      <c r="AI327">
        <v>19.600999999999999</v>
      </c>
      <c r="AJ327">
        <v>72</v>
      </c>
      <c r="AK327" s="21">
        <v>0.216</v>
      </c>
      <c r="AL327">
        <v>120</v>
      </c>
      <c r="AM327" s="21">
        <v>0.33300000000000002</v>
      </c>
      <c r="AN327">
        <v>178</v>
      </c>
      <c r="AO327" s="21">
        <v>0.33800000000000002</v>
      </c>
      <c r="AP327">
        <v>324</v>
      </c>
      <c r="AQ327" s="21">
        <v>0.36299999999999999</v>
      </c>
      <c r="AR327">
        <v>224</v>
      </c>
      <c r="AS327" s="21">
        <v>0.26300000000000001</v>
      </c>
      <c r="AT327">
        <v>293</v>
      </c>
      <c r="AU327" s="21">
        <v>0.69699999999999995</v>
      </c>
      <c r="AV327">
        <v>351</v>
      </c>
      <c r="AW327">
        <v>66.3</v>
      </c>
      <c r="AX327">
        <v>257</v>
      </c>
      <c r="AY327" s="21">
        <v>0.17899999999999999</v>
      </c>
      <c r="AZ327">
        <v>320</v>
      </c>
      <c r="BA327" s="21">
        <v>0.14499999999999999</v>
      </c>
    </row>
    <row r="328" spans="1:53" x14ac:dyDescent="0.25">
      <c r="A328" s="1" t="s">
        <v>253</v>
      </c>
      <c r="B328">
        <v>327</v>
      </c>
      <c r="C328">
        <v>-10.1</v>
      </c>
      <c r="D328">
        <v>237</v>
      </c>
      <c r="E328">
        <v>-2.7</v>
      </c>
      <c r="F328">
        <v>343</v>
      </c>
      <c r="G328">
        <v>-7.6</v>
      </c>
      <c r="H328">
        <v>317</v>
      </c>
      <c r="I328">
        <v>-6.7</v>
      </c>
      <c r="J328">
        <v>221</v>
      </c>
      <c r="K328">
        <v>-0.6</v>
      </c>
      <c r="L328">
        <v>194</v>
      </c>
      <c r="M328">
        <v>10.4</v>
      </c>
      <c r="N328">
        <v>343</v>
      </c>
      <c r="O328">
        <v>0.82599999999999996</v>
      </c>
      <c r="P328">
        <v>118</v>
      </c>
      <c r="Q328">
        <v>1.0309999999999999</v>
      </c>
      <c r="R328">
        <v>279</v>
      </c>
      <c r="S328">
        <v>0.33300000000000002</v>
      </c>
      <c r="T328">
        <v>214</v>
      </c>
      <c r="U328">
        <v>0.94899999999999995</v>
      </c>
      <c r="V328">
        <v>46</v>
      </c>
      <c r="W328">
        <v>0.92600000000000005</v>
      </c>
      <c r="X328">
        <v>358</v>
      </c>
      <c r="Y328">
        <v>0.91500000000000004</v>
      </c>
      <c r="Z328">
        <v>109</v>
      </c>
      <c r="AA328">
        <v>1.0109999999999999</v>
      </c>
      <c r="AB328">
        <v>360</v>
      </c>
      <c r="AC328" s="21">
        <v>0.441</v>
      </c>
      <c r="AD328" s="21">
        <v>0.435</v>
      </c>
      <c r="AE328">
        <v>356</v>
      </c>
      <c r="AF328">
        <v>186</v>
      </c>
      <c r="AG328" s="21">
        <v>0.51</v>
      </c>
      <c r="AH328">
        <v>223</v>
      </c>
      <c r="AI328">
        <v>18.815999999999999</v>
      </c>
      <c r="AJ328">
        <v>305</v>
      </c>
      <c r="AK328" s="21">
        <v>0.27300000000000002</v>
      </c>
      <c r="AL328">
        <v>324</v>
      </c>
      <c r="AM328" s="21">
        <v>0.255</v>
      </c>
      <c r="AN328">
        <v>280</v>
      </c>
      <c r="AO328" s="21">
        <v>0.317</v>
      </c>
      <c r="AP328">
        <v>238</v>
      </c>
      <c r="AQ328" s="21">
        <v>0.34699999999999998</v>
      </c>
      <c r="AR328">
        <v>225</v>
      </c>
      <c r="AS328" s="21">
        <v>0.26300000000000001</v>
      </c>
      <c r="AT328">
        <v>259</v>
      </c>
      <c r="AU328" s="21">
        <v>0.70699999999999996</v>
      </c>
      <c r="AV328">
        <v>218</v>
      </c>
      <c r="AW328">
        <v>69.5</v>
      </c>
      <c r="AX328">
        <v>274</v>
      </c>
      <c r="AY328" s="21">
        <v>0.18</v>
      </c>
      <c r="AZ328">
        <v>27</v>
      </c>
      <c r="BA328" s="21">
        <v>0.20200000000000001</v>
      </c>
    </row>
    <row r="329" spans="1:53" x14ac:dyDescent="0.25">
      <c r="A329" s="1" t="s">
        <v>240</v>
      </c>
      <c r="B329">
        <v>328</v>
      </c>
      <c r="C329">
        <v>-10.1</v>
      </c>
      <c r="D329">
        <v>328</v>
      </c>
      <c r="E329">
        <v>-13.8</v>
      </c>
      <c r="F329">
        <v>345</v>
      </c>
      <c r="G329">
        <v>-7.7</v>
      </c>
      <c r="H329">
        <v>203</v>
      </c>
      <c r="I329">
        <v>-3</v>
      </c>
      <c r="J329">
        <v>80</v>
      </c>
      <c r="K329">
        <v>1.4</v>
      </c>
      <c r="L329">
        <v>211</v>
      </c>
      <c r="M329">
        <v>10.5</v>
      </c>
      <c r="N329">
        <v>330</v>
      </c>
      <c r="O329">
        <v>0.86</v>
      </c>
      <c r="P329">
        <v>239</v>
      </c>
      <c r="Q329">
        <v>1.206</v>
      </c>
      <c r="R329">
        <v>130</v>
      </c>
      <c r="S329">
        <v>0.55600000000000005</v>
      </c>
      <c r="T329">
        <v>352</v>
      </c>
      <c r="U329">
        <v>0.90600000000000003</v>
      </c>
      <c r="V329">
        <v>326</v>
      </c>
      <c r="W329">
        <v>0.98699999999999999</v>
      </c>
      <c r="X329">
        <v>302</v>
      </c>
      <c r="Y329">
        <v>0.98099999999999998</v>
      </c>
      <c r="Z329">
        <v>297</v>
      </c>
      <c r="AA329">
        <v>1.0860000000000001</v>
      </c>
      <c r="AB329">
        <v>184</v>
      </c>
      <c r="AC329" s="21">
        <v>0.50600000000000001</v>
      </c>
      <c r="AD329" s="21">
        <v>0.48099999999999998</v>
      </c>
      <c r="AE329">
        <v>255</v>
      </c>
      <c r="AF329">
        <v>213</v>
      </c>
      <c r="AG329" s="21">
        <v>0.51400000000000001</v>
      </c>
      <c r="AH329">
        <v>153</v>
      </c>
      <c r="AI329">
        <v>20.163</v>
      </c>
      <c r="AJ329">
        <v>342</v>
      </c>
      <c r="AK329" s="21">
        <v>0.29099999999999998</v>
      </c>
      <c r="AL329">
        <v>56</v>
      </c>
      <c r="AM329" s="21">
        <v>0.36799999999999999</v>
      </c>
      <c r="AN329">
        <v>185</v>
      </c>
      <c r="AO329" s="21">
        <v>0.33600000000000002</v>
      </c>
      <c r="AP329">
        <v>208</v>
      </c>
      <c r="AQ329" s="21">
        <v>0.34200000000000003</v>
      </c>
      <c r="AR329">
        <v>259</v>
      </c>
      <c r="AS329" s="21">
        <v>0.25</v>
      </c>
      <c r="AT329">
        <v>306</v>
      </c>
      <c r="AU329" s="21">
        <v>0.69399999999999995</v>
      </c>
      <c r="AV329">
        <v>192</v>
      </c>
      <c r="AW329">
        <v>70.099999999999994</v>
      </c>
      <c r="AX329">
        <v>342</v>
      </c>
      <c r="AY329" s="21">
        <v>0.20100000000000001</v>
      </c>
      <c r="AZ329">
        <v>299</v>
      </c>
      <c r="BA329" s="21">
        <v>0.15</v>
      </c>
    </row>
    <row r="330" spans="1:53" x14ac:dyDescent="0.25">
      <c r="A330" s="1" t="s">
        <v>304</v>
      </c>
      <c r="B330">
        <v>329</v>
      </c>
      <c r="C330">
        <v>-10.199999999999999</v>
      </c>
      <c r="D330">
        <v>324</v>
      </c>
      <c r="E330">
        <v>-13.1</v>
      </c>
      <c r="F330">
        <v>352</v>
      </c>
      <c r="G330">
        <v>-8.3000000000000007</v>
      </c>
      <c r="H330">
        <v>351</v>
      </c>
      <c r="I330">
        <v>-9</v>
      </c>
      <c r="J330">
        <v>57</v>
      </c>
      <c r="K330">
        <v>1.9</v>
      </c>
      <c r="L330">
        <v>104</v>
      </c>
      <c r="M330">
        <v>9.6</v>
      </c>
      <c r="N330">
        <v>348</v>
      </c>
      <c r="O330">
        <v>0.79800000000000004</v>
      </c>
      <c r="P330">
        <v>60</v>
      </c>
      <c r="Q330">
        <v>0.95899999999999996</v>
      </c>
      <c r="R330">
        <v>14</v>
      </c>
      <c r="S330">
        <v>0.8</v>
      </c>
      <c r="T330">
        <v>148</v>
      </c>
      <c r="U330">
        <v>0.96199999999999997</v>
      </c>
      <c r="V330">
        <v>74</v>
      </c>
      <c r="W330">
        <v>0.93600000000000005</v>
      </c>
      <c r="X330">
        <v>343</v>
      </c>
      <c r="Y330">
        <v>0.93700000000000006</v>
      </c>
      <c r="Z330">
        <v>134</v>
      </c>
      <c r="AA330">
        <v>1.018</v>
      </c>
      <c r="AB330">
        <v>355</v>
      </c>
      <c r="AC330" s="21">
        <v>0.45</v>
      </c>
      <c r="AD330" s="21">
        <v>0.42899999999999999</v>
      </c>
      <c r="AE330">
        <v>361</v>
      </c>
      <c r="AF330">
        <v>174</v>
      </c>
      <c r="AG330" s="21">
        <v>0.50700000000000001</v>
      </c>
      <c r="AH330">
        <v>148</v>
      </c>
      <c r="AI330">
        <v>20.221</v>
      </c>
      <c r="AJ330">
        <v>214</v>
      </c>
      <c r="AK330" s="21">
        <v>0.25</v>
      </c>
      <c r="AL330">
        <v>343</v>
      </c>
      <c r="AM330" s="21">
        <v>0.24199999999999999</v>
      </c>
      <c r="AN330">
        <v>364</v>
      </c>
      <c r="AO330" s="21">
        <v>0.26700000000000002</v>
      </c>
      <c r="AP330">
        <v>232</v>
      </c>
      <c r="AQ330" s="21">
        <v>0.34599999999999997</v>
      </c>
      <c r="AR330">
        <v>162</v>
      </c>
      <c r="AS330" s="21">
        <v>0.28299999999999997</v>
      </c>
      <c r="AT330">
        <v>240</v>
      </c>
      <c r="AU330" s="21">
        <v>0.71199999999999997</v>
      </c>
      <c r="AV330">
        <v>47</v>
      </c>
      <c r="AW330">
        <v>72.900000000000006</v>
      </c>
      <c r="AX330">
        <v>227</v>
      </c>
      <c r="AY330" s="21">
        <v>0.17499999999999999</v>
      </c>
      <c r="AZ330">
        <v>65</v>
      </c>
      <c r="BA330" s="21">
        <v>0.189</v>
      </c>
    </row>
    <row r="331" spans="1:53" x14ac:dyDescent="0.25">
      <c r="A331" s="1" t="s">
        <v>231</v>
      </c>
      <c r="B331">
        <v>330</v>
      </c>
      <c r="C331">
        <v>-10.3</v>
      </c>
      <c r="D331">
        <v>277</v>
      </c>
      <c r="E331">
        <v>-5.6</v>
      </c>
      <c r="F331">
        <v>356</v>
      </c>
      <c r="G331">
        <v>-8.9</v>
      </c>
      <c r="H331">
        <v>354</v>
      </c>
      <c r="I331">
        <v>-9.4</v>
      </c>
      <c r="J331">
        <v>203</v>
      </c>
      <c r="K331">
        <v>-0.3</v>
      </c>
      <c r="L331">
        <v>260</v>
      </c>
      <c r="M331">
        <v>11</v>
      </c>
      <c r="N331">
        <v>294</v>
      </c>
      <c r="O331">
        <v>0.94</v>
      </c>
      <c r="P331">
        <v>276</v>
      </c>
      <c r="Q331">
        <v>1.272</v>
      </c>
      <c r="R331">
        <v>251</v>
      </c>
      <c r="S331">
        <v>0.4</v>
      </c>
      <c r="T331">
        <v>116</v>
      </c>
      <c r="U331">
        <v>0.96799999999999997</v>
      </c>
      <c r="V331">
        <v>350</v>
      </c>
      <c r="W331">
        <v>0.998</v>
      </c>
      <c r="X331">
        <v>209</v>
      </c>
      <c r="Y331">
        <v>1.0229999999999999</v>
      </c>
      <c r="Z331">
        <v>339</v>
      </c>
      <c r="AA331">
        <v>1.111</v>
      </c>
      <c r="AB331">
        <v>269</v>
      </c>
      <c r="AC331" s="21">
        <v>0.49</v>
      </c>
      <c r="AD331" s="21">
        <v>0.47199999999999998</v>
      </c>
      <c r="AE331">
        <v>283</v>
      </c>
      <c r="AF331">
        <v>259</v>
      </c>
      <c r="AG331" s="21">
        <v>0.52400000000000002</v>
      </c>
      <c r="AH331">
        <v>98</v>
      </c>
      <c r="AI331">
        <v>21.346</v>
      </c>
      <c r="AJ331">
        <v>327</v>
      </c>
      <c r="AK331" s="21">
        <v>0.28399999999999997</v>
      </c>
      <c r="AL331">
        <v>364</v>
      </c>
      <c r="AM331" s="21">
        <v>0.16600000000000001</v>
      </c>
      <c r="AN331">
        <v>290</v>
      </c>
      <c r="AO331" s="21">
        <v>0.316</v>
      </c>
      <c r="AP331">
        <v>335</v>
      </c>
      <c r="AQ331" s="21">
        <v>0.36799999999999999</v>
      </c>
      <c r="AR331">
        <v>63</v>
      </c>
      <c r="AS331" s="21">
        <v>0.32200000000000001</v>
      </c>
      <c r="AT331">
        <v>360</v>
      </c>
      <c r="AU331" s="21">
        <v>0.63800000000000001</v>
      </c>
      <c r="AV331">
        <v>17</v>
      </c>
      <c r="AW331">
        <v>74.5</v>
      </c>
      <c r="AX331">
        <v>228</v>
      </c>
      <c r="AY331" s="21">
        <v>0.17499999999999999</v>
      </c>
      <c r="AZ331">
        <v>189</v>
      </c>
      <c r="BA331" s="21">
        <v>0.16500000000000001</v>
      </c>
    </row>
    <row r="332" spans="1:53" x14ac:dyDescent="0.25">
      <c r="A332" s="1" t="s">
        <v>302</v>
      </c>
      <c r="B332">
        <v>331</v>
      </c>
      <c r="C332">
        <v>-10.3</v>
      </c>
      <c r="D332">
        <v>167</v>
      </c>
      <c r="E332">
        <v>0.1</v>
      </c>
      <c r="F332">
        <v>354</v>
      </c>
      <c r="G332">
        <v>-8.5</v>
      </c>
      <c r="H332">
        <v>324</v>
      </c>
      <c r="I332">
        <v>-7.2</v>
      </c>
      <c r="J332">
        <v>104</v>
      </c>
      <c r="K332">
        <v>1.1000000000000001</v>
      </c>
      <c r="L332">
        <v>64</v>
      </c>
      <c r="M332">
        <v>9.1</v>
      </c>
      <c r="N332">
        <v>156</v>
      </c>
      <c r="O332">
        <v>1.1719999999999999</v>
      </c>
      <c r="P332">
        <v>73</v>
      </c>
      <c r="Q332">
        <v>0.97799999999999998</v>
      </c>
      <c r="R332">
        <v>93</v>
      </c>
      <c r="S332">
        <v>0.6</v>
      </c>
      <c r="T332">
        <v>313</v>
      </c>
      <c r="U332">
        <v>0.92800000000000005</v>
      </c>
      <c r="V332">
        <v>273</v>
      </c>
      <c r="W332">
        <v>0.97199999999999998</v>
      </c>
      <c r="X332">
        <v>259</v>
      </c>
      <c r="Y332">
        <v>1.0049999999999999</v>
      </c>
      <c r="Z332">
        <v>237</v>
      </c>
      <c r="AA332">
        <v>1.0589999999999999</v>
      </c>
      <c r="AB332">
        <v>161</v>
      </c>
      <c r="AC332" s="21">
        <v>0.51100000000000001</v>
      </c>
      <c r="AD332" s="21">
        <v>0.48299999999999998</v>
      </c>
      <c r="AE332">
        <v>249</v>
      </c>
      <c r="AF332">
        <v>179</v>
      </c>
      <c r="AG332" s="21">
        <v>0.50900000000000001</v>
      </c>
      <c r="AH332">
        <v>256</v>
      </c>
      <c r="AI332">
        <v>18.268000000000001</v>
      </c>
      <c r="AJ332">
        <v>184</v>
      </c>
      <c r="AK332" s="21">
        <v>0.24399999999999999</v>
      </c>
      <c r="AL332">
        <v>43</v>
      </c>
      <c r="AM332" s="21">
        <v>0.379</v>
      </c>
      <c r="AN332">
        <v>90</v>
      </c>
      <c r="AO332" s="21">
        <v>0.35399999999999998</v>
      </c>
      <c r="AP332">
        <v>251</v>
      </c>
      <c r="AQ332" s="21">
        <v>0.34899999999999998</v>
      </c>
      <c r="AR332">
        <v>278</v>
      </c>
      <c r="AS332" s="21">
        <v>0.24299999999999999</v>
      </c>
      <c r="AT332">
        <v>202</v>
      </c>
      <c r="AU332" s="21">
        <v>0.71899999999999997</v>
      </c>
      <c r="AV332">
        <v>330</v>
      </c>
      <c r="AW332">
        <v>67</v>
      </c>
      <c r="AX332">
        <v>265</v>
      </c>
      <c r="AY332" s="21">
        <v>0.17899999999999999</v>
      </c>
      <c r="AZ332">
        <v>243</v>
      </c>
      <c r="BA332" s="21">
        <v>0.159</v>
      </c>
    </row>
    <row r="333" spans="1:53" x14ac:dyDescent="0.25">
      <c r="A333" s="1" t="s">
        <v>225</v>
      </c>
      <c r="B333">
        <v>332</v>
      </c>
      <c r="C333">
        <v>-10.3</v>
      </c>
      <c r="D333">
        <v>361</v>
      </c>
      <c r="E333">
        <v>-23.9</v>
      </c>
      <c r="F333">
        <v>259</v>
      </c>
      <c r="G333">
        <v>-4.3</v>
      </c>
      <c r="H333">
        <v>295</v>
      </c>
      <c r="I333">
        <v>-5.6</v>
      </c>
      <c r="J333">
        <v>319</v>
      </c>
      <c r="K333">
        <v>-2.1</v>
      </c>
      <c r="L333">
        <v>25</v>
      </c>
      <c r="M333">
        <v>8.4</v>
      </c>
      <c r="N333">
        <v>255</v>
      </c>
      <c r="O333">
        <v>1.012</v>
      </c>
      <c r="P333">
        <v>339</v>
      </c>
      <c r="Q333">
        <v>1.494</v>
      </c>
      <c r="R333">
        <v>271</v>
      </c>
      <c r="S333">
        <v>0.36399999999999999</v>
      </c>
      <c r="T333">
        <v>99</v>
      </c>
      <c r="U333">
        <v>0.97</v>
      </c>
      <c r="V333">
        <v>330</v>
      </c>
      <c r="W333">
        <v>0.98899999999999999</v>
      </c>
      <c r="X333">
        <v>325</v>
      </c>
      <c r="Y333">
        <v>0.95899999999999996</v>
      </c>
      <c r="Z333">
        <v>295</v>
      </c>
      <c r="AA333">
        <v>1.085</v>
      </c>
      <c r="AB333">
        <v>345</v>
      </c>
      <c r="AC333" s="21">
        <v>0.45800000000000002</v>
      </c>
      <c r="AD333" s="21">
        <v>0.45600000000000002</v>
      </c>
      <c r="AE333">
        <v>334</v>
      </c>
      <c r="AF333">
        <v>218</v>
      </c>
      <c r="AG333" s="21">
        <v>0.51500000000000001</v>
      </c>
      <c r="AH333">
        <v>259</v>
      </c>
      <c r="AI333">
        <v>18.166</v>
      </c>
      <c r="AJ333">
        <v>116</v>
      </c>
      <c r="AK333" s="21">
        <v>0.22700000000000001</v>
      </c>
      <c r="AL333">
        <v>258</v>
      </c>
      <c r="AM333" s="21">
        <v>0.28599999999999998</v>
      </c>
      <c r="AN333">
        <v>342</v>
      </c>
      <c r="AO333" s="21">
        <v>0.3</v>
      </c>
      <c r="AP333">
        <v>145</v>
      </c>
      <c r="AQ333" s="21">
        <v>0.33300000000000002</v>
      </c>
      <c r="AR333">
        <v>272</v>
      </c>
      <c r="AS333" s="21">
        <v>0.246</v>
      </c>
      <c r="AT333">
        <v>284</v>
      </c>
      <c r="AU333" s="21">
        <v>0.7</v>
      </c>
      <c r="AV333">
        <v>145</v>
      </c>
      <c r="AW333">
        <v>70.900000000000006</v>
      </c>
      <c r="AX333">
        <v>53</v>
      </c>
      <c r="AY333" s="21">
        <v>0.15</v>
      </c>
      <c r="AZ333">
        <v>304</v>
      </c>
      <c r="BA333" s="21">
        <v>0.14899999999999999</v>
      </c>
    </row>
    <row r="334" spans="1:53" x14ac:dyDescent="0.25">
      <c r="A334" s="1" t="s">
        <v>133</v>
      </c>
      <c r="B334">
        <v>333</v>
      </c>
      <c r="C334">
        <v>-10.5</v>
      </c>
      <c r="D334">
        <v>186</v>
      </c>
      <c r="E334" t="s">
        <v>5</v>
      </c>
      <c r="F334">
        <v>361</v>
      </c>
      <c r="G334">
        <v>-10.199999999999999</v>
      </c>
      <c r="H334">
        <v>362</v>
      </c>
      <c r="I334">
        <v>-10.9</v>
      </c>
      <c r="J334">
        <v>233</v>
      </c>
      <c r="K334">
        <v>-0.7</v>
      </c>
      <c r="L334">
        <v>137</v>
      </c>
      <c r="M334">
        <v>9.9</v>
      </c>
      <c r="N334">
        <v>301</v>
      </c>
      <c r="O334">
        <v>0.92600000000000005</v>
      </c>
      <c r="P334">
        <v>134</v>
      </c>
      <c r="Q334">
        <v>1.0549999999999999</v>
      </c>
      <c r="R334">
        <v>130</v>
      </c>
      <c r="S334">
        <v>0.55600000000000005</v>
      </c>
      <c r="T334">
        <v>140</v>
      </c>
      <c r="U334">
        <v>0.96299999999999997</v>
      </c>
      <c r="V334">
        <v>31</v>
      </c>
      <c r="W334">
        <v>0.92100000000000004</v>
      </c>
      <c r="X334">
        <v>357</v>
      </c>
      <c r="Y334">
        <v>0.91700000000000004</v>
      </c>
      <c r="Z334">
        <v>95</v>
      </c>
      <c r="AA334">
        <v>1.004</v>
      </c>
      <c r="AB334">
        <v>363</v>
      </c>
      <c r="AC334" s="21">
        <v>0.437</v>
      </c>
      <c r="AD334" s="21">
        <v>0.43099999999999999</v>
      </c>
      <c r="AE334">
        <v>360</v>
      </c>
      <c r="AF334">
        <v>152</v>
      </c>
      <c r="AG334" s="21">
        <v>0.504</v>
      </c>
      <c r="AH334">
        <v>282</v>
      </c>
      <c r="AI334">
        <v>17.651</v>
      </c>
      <c r="AJ334">
        <v>316</v>
      </c>
      <c r="AK334" s="21">
        <v>0.28100000000000003</v>
      </c>
      <c r="AL334">
        <v>136</v>
      </c>
      <c r="AM334" s="21">
        <v>0.32900000000000001</v>
      </c>
      <c r="AN334">
        <v>287</v>
      </c>
      <c r="AO334" s="21">
        <v>0.316</v>
      </c>
      <c r="AP334">
        <v>135</v>
      </c>
      <c r="AQ334" s="21">
        <v>0.33200000000000002</v>
      </c>
      <c r="AR334">
        <v>111</v>
      </c>
      <c r="AS334" s="21">
        <v>0.30099999999999999</v>
      </c>
      <c r="AT334">
        <v>15</v>
      </c>
      <c r="AU334" s="21">
        <v>0.77200000000000002</v>
      </c>
      <c r="AV334">
        <v>362</v>
      </c>
      <c r="AW334">
        <v>62.8</v>
      </c>
      <c r="AX334">
        <v>312</v>
      </c>
      <c r="AY334" s="21">
        <v>0.189</v>
      </c>
      <c r="AZ334">
        <v>103</v>
      </c>
      <c r="BA334" s="21">
        <v>0.17799999999999999</v>
      </c>
    </row>
    <row r="335" spans="1:53" x14ac:dyDescent="0.25">
      <c r="A335" s="1" t="s">
        <v>301</v>
      </c>
      <c r="B335">
        <v>334</v>
      </c>
      <c r="C335">
        <v>-10.6</v>
      </c>
      <c r="D335">
        <v>190</v>
      </c>
      <c r="E335" t="s">
        <v>5</v>
      </c>
      <c r="F335">
        <v>347</v>
      </c>
      <c r="G335">
        <v>-7.8</v>
      </c>
      <c r="H335">
        <v>333</v>
      </c>
      <c r="I335">
        <v>-7.6</v>
      </c>
      <c r="J335">
        <v>306</v>
      </c>
      <c r="K335">
        <v>-1.9</v>
      </c>
      <c r="L335">
        <v>222</v>
      </c>
      <c r="M335">
        <v>10.6</v>
      </c>
      <c r="N335">
        <v>316</v>
      </c>
      <c r="O335">
        <v>0.90400000000000003</v>
      </c>
      <c r="P335">
        <v>140</v>
      </c>
      <c r="Q335">
        <v>1.0680000000000001</v>
      </c>
      <c r="R335">
        <v>321</v>
      </c>
      <c r="S335">
        <v>0.27300000000000002</v>
      </c>
      <c r="T335">
        <v>226</v>
      </c>
      <c r="U335">
        <v>0.94699999999999995</v>
      </c>
      <c r="V335">
        <v>306</v>
      </c>
      <c r="W335">
        <v>0.97899999999999998</v>
      </c>
      <c r="X335">
        <v>296</v>
      </c>
      <c r="Y335">
        <v>0.98599999999999999</v>
      </c>
      <c r="Z335">
        <v>250</v>
      </c>
      <c r="AA335">
        <v>1.0629999999999999</v>
      </c>
      <c r="AB335">
        <v>305</v>
      </c>
      <c r="AC335" s="21">
        <v>0.47899999999999998</v>
      </c>
      <c r="AD335" s="21">
        <v>0.47</v>
      </c>
      <c r="AE335">
        <v>288</v>
      </c>
      <c r="AF335">
        <v>235</v>
      </c>
      <c r="AG335" s="21">
        <v>0.51800000000000002</v>
      </c>
      <c r="AH335">
        <v>218</v>
      </c>
      <c r="AI335">
        <v>18.867999999999999</v>
      </c>
      <c r="AJ335">
        <v>256</v>
      </c>
      <c r="AK335" s="21">
        <v>0.25900000000000001</v>
      </c>
      <c r="AL335">
        <v>225</v>
      </c>
      <c r="AM335" s="21">
        <v>0.29899999999999999</v>
      </c>
      <c r="AN335">
        <v>99</v>
      </c>
      <c r="AO335" s="21">
        <v>0.35199999999999998</v>
      </c>
      <c r="AP335">
        <v>330</v>
      </c>
      <c r="AQ335" s="21">
        <v>0.36699999999999999</v>
      </c>
      <c r="AR335">
        <v>256</v>
      </c>
      <c r="AS335" s="21">
        <v>0.25</v>
      </c>
      <c r="AT335">
        <v>301</v>
      </c>
      <c r="AU335" s="21">
        <v>0.69599999999999995</v>
      </c>
      <c r="AV335">
        <v>159</v>
      </c>
      <c r="AW335">
        <v>70.599999999999994</v>
      </c>
      <c r="AX335">
        <v>185</v>
      </c>
      <c r="AY335" s="21">
        <v>0.16800000000000001</v>
      </c>
      <c r="AZ335">
        <v>206</v>
      </c>
      <c r="BA335" s="21">
        <v>0.16300000000000001</v>
      </c>
    </row>
    <row r="336" spans="1:53" x14ac:dyDescent="0.25">
      <c r="A336" s="1" t="s">
        <v>460</v>
      </c>
      <c r="B336">
        <v>335</v>
      </c>
      <c r="C336">
        <v>-10.6</v>
      </c>
      <c r="D336">
        <v>338</v>
      </c>
      <c r="E336">
        <v>-16.100000000000001</v>
      </c>
      <c r="F336">
        <v>326</v>
      </c>
      <c r="G336">
        <v>-6.8</v>
      </c>
      <c r="H336">
        <v>77</v>
      </c>
      <c r="I336">
        <v>2.1</v>
      </c>
      <c r="J336">
        <v>208</v>
      </c>
      <c r="K336">
        <v>-0.5</v>
      </c>
      <c r="L336">
        <v>212</v>
      </c>
      <c r="M336">
        <v>10.5</v>
      </c>
      <c r="N336">
        <v>349</v>
      </c>
      <c r="O336">
        <v>0.79800000000000004</v>
      </c>
      <c r="P336">
        <v>277</v>
      </c>
      <c r="Q336">
        <v>1.276</v>
      </c>
      <c r="R336">
        <v>239</v>
      </c>
      <c r="S336">
        <v>0.42899999999999999</v>
      </c>
      <c r="T336">
        <v>156</v>
      </c>
      <c r="U336">
        <v>0.96</v>
      </c>
      <c r="V336">
        <v>173</v>
      </c>
      <c r="W336">
        <v>0.95499999999999996</v>
      </c>
      <c r="X336">
        <v>323</v>
      </c>
      <c r="Y336">
        <v>0.96099999999999997</v>
      </c>
      <c r="Z336">
        <v>256</v>
      </c>
      <c r="AA336">
        <v>1.0649999999999999</v>
      </c>
      <c r="AB336">
        <v>339</v>
      </c>
      <c r="AC336" s="21">
        <v>0.46100000000000002</v>
      </c>
      <c r="AD336" s="21">
        <v>0.45</v>
      </c>
      <c r="AE336">
        <v>341</v>
      </c>
      <c r="AF336">
        <v>278</v>
      </c>
      <c r="AG336" s="21">
        <v>0.53</v>
      </c>
      <c r="AH336">
        <v>249</v>
      </c>
      <c r="AI336">
        <v>18.407</v>
      </c>
      <c r="AJ336">
        <v>128</v>
      </c>
      <c r="AK336" s="21">
        <v>0.23</v>
      </c>
      <c r="AL336">
        <v>337</v>
      </c>
      <c r="AM336" s="21">
        <v>0.247</v>
      </c>
      <c r="AN336">
        <v>272</v>
      </c>
      <c r="AO336" s="21">
        <v>0.318</v>
      </c>
      <c r="AP336">
        <v>193</v>
      </c>
      <c r="AQ336" s="21">
        <v>0.34100000000000003</v>
      </c>
      <c r="AR336">
        <v>55</v>
      </c>
      <c r="AS336" s="21">
        <v>0.32300000000000001</v>
      </c>
      <c r="AT336">
        <v>310</v>
      </c>
      <c r="AU336" s="21">
        <v>0.69199999999999995</v>
      </c>
      <c r="AV336">
        <v>285</v>
      </c>
      <c r="AW336">
        <v>68</v>
      </c>
      <c r="AX336">
        <v>314</v>
      </c>
      <c r="AY336" s="21">
        <v>0.19</v>
      </c>
      <c r="AZ336">
        <v>98</v>
      </c>
      <c r="BA336" s="21">
        <v>0.17899999999999999</v>
      </c>
    </row>
    <row r="337" spans="1:53" x14ac:dyDescent="0.25">
      <c r="A337" s="1" t="s">
        <v>601</v>
      </c>
      <c r="B337">
        <v>336</v>
      </c>
      <c r="C337">
        <v>-11.3</v>
      </c>
      <c r="D337">
        <v>349</v>
      </c>
      <c r="E337">
        <v>-19</v>
      </c>
      <c r="F337">
        <v>319</v>
      </c>
      <c r="G337">
        <v>-6.3</v>
      </c>
      <c r="H337">
        <v>350</v>
      </c>
      <c r="I337">
        <v>-9</v>
      </c>
      <c r="J337">
        <v>351</v>
      </c>
      <c r="K337">
        <v>-3.2</v>
      </c>
      <c r="L337">
        <v>291</v>
      </c>
      <c r="M337">
        <v>11.3</v>
      </c>
      <c r="N337">
        <v>322</v>
      </c>
      <c r="O337">
        <v>0.89100000000000001</v>
      </c>
      <c r="P337">
        <v>286</v>
      </c>
      <c r="Q337">
        <v>1.288</v>
      </c>
      <c r="R337">
        <v>223</v>
      </c>
      <c r="S337">
        <v>0.44400000000000001</v>
      </c>
      <c r="T337">
        <v>312</v>
      </c>
      <c r="U337">
        <v>0.92800000000000005</v>
      </c>
      <c r="V337">
        <v>83</v>
      </c>
      <c r="W337">
        <v>0.93799999999999994</v>
      </c>
      <c r="X337">
        <v>337</v>
      </c>
      <c r="Y337">
        <v>0.94599999999999995</v>
      </c>
      <c r="Z337">
        <v>316</v>
      </c>
      <c r="AA337">
        <v>1.0960000000000001</v>
      </c>
      <c r="AB337">
        <v>301</v>
      </c>
      <c r="AC337" s="21">
        <v>0.48</v>
      </c>
      <c r="AD337" s="21">
        <v>0.48499999999999999</v>
      </c>
      <c r="AE337">
        <v>232</v>
      </c>
      <c r="AF337">
        <v>347</v>
      </c>
      <c r="AG337" s="21">
        <v>0.55100000000000005</v>
      </c>
      <c r="AH337">
        <v>297</v>
      </c>
      <c r="AI337">
        <v>17.196000000000002</v>
      </c>
      <c r="AJ337">
        <v>318</v>
      </c>
      <c r="AK337" s="21">
        <v>0.28100000000000003</v>
      </c>
      <c r="AL337">
        <v>72</v>
      </c>
      <c r="AM337" s="21">
        <v>0.35799999999999998</v>
      </c>
      <c r="AN337">
        <v>315</v>
      </c>
      <c r="AO337" s="21">
        <v>0.312</v>
      </c>
      <c r="AP337">
        <v>329</v>
      </c>
      <c r="AQ337" s="21">
        <v>0.36599999999999999</v>
      </c>
      <c r="AR337">
        <v>212</v>
      </c>
      <c r="AS337" s="21">
        <v>0.26900000000000002</v>
      </c>
      <c r="AT337">
        <v>49</v>
      </c>
      <c r="AU337" s="21">
        <v>0.753</v>
      </c>
      <c r="AV337">
        <v>329</v>
      </c>
      <c r="AW337">
        <v>67</v>
      </c>
      <c r="AX337">
        <v>338</v>
      </c>
      <c r="AY337" s="21">
        <v>0.19800000000000001</v>
      </c>
      <c r="AZ337">
        <v>174</v>
      </c>
      <c r="BA337" s="21">
        <v>0.16800000000000001</v>
      </c>
    </row>
    <row r="338" spans="1:53" x14ac:dyDescent="0.25">
      <c r="A338" s="1" t="s">
        <v>384</v>
      </c>
      <c r="B338">
        <v>337</v>
      </c>
      <c r="C338">
        <v>-11.6</v>
      </c>
      <c r="D338">
        <v>331</v>
      </c>
      <c r="E338">
        <v>-14.2</v>
      </c>
      <c r="F338">
        <v>253</v>
      </c>
      <c r="G338">
        <v>-4.2</v>
      </c>
      <c r="H338">
        <v>265</v>
      </c>
      <c r="I338">
        <v>-4.5999999999999996</v>
      </c>
      <c r="J338">
        <v>166</v>
      </c>
      <c r="K338">
        <v>0.2</v>
      </c>
      <c r="L338">
        <v>170</v>
      </c>
      <c r="M338">
        <v>10.199999999999999</v>
      </c>
      <c r="N338">
        <v>345</v>
      </c>
      <c r="O338">
        <v>0.81</v>
      </c>
      <c r="P338">
        <v>326</v>
      </c>
      <c r="Q338">
        <v>1.4179999999999999</v>
      </c>
      <c r="R338">
        <v>50</v>
      </c>
      <c r="S338">
        <v>0.66700000000000004</v>
      </c>
      <c r="T338">
        <v>200</v>
      </c>
      <c r="U338">
        <v>0.95099999999999996</v>
      </c>
      <c r="V338">
        <v>325</v>
      </c>
      <c r="W338">
        <v>0.98599999999999999</v>
      </c>
      <c r="X338">
        <v>341</v>
      </c>
      <c r="Y338">
        <v>0.94</v>
      </c>
      <c r="Z338">
        <v>301</v>
      </c>
      <c r="AA338">
        <v>1.087</v>
      </c>
      <c r="AB338">
        <v>349</v>
      </c>
      <c r="AC338" s="21">
        <v>0.45600000000000002</v>
      </c>
      <c r="AD338" s="21">
        <v>0.439</v>
      </c>
      <c r="AE338">
        <v>351</v>
      </c>
      <c r="AF338">
        <v>200</v>
      </c>
      <c r="AG338" s="21">
        <v>0.51200000000000001</v>
      </c>
      <c r="AH338">
        <v>279</v>
      </c>
      <c r="AI338">
        <v>17.745999999999999</v>
      </c>
      <c r="AJ338">
        <v>340</v>
      </c>
      <c r="AK338" s="21">
        <v>0.28999999999999998</v>
      </c>
      <c r="AL338">
        <v>328</v>
      </c>
      <c r="AM338" s="21">
        <v>0.253</v>
      </c>
      <c r="AN338">
        <v>203</v>
      </c>
      <c r="AO338" s="21">
        <v>0.33300000000000002</v>
      </c>
      <c r="AP338">
        <v>136</v>
      </c>
      <c r="AQ338" s="21">
        <v>0.33200000000000002</v>
      </c>
      <c r="AR338">
        <v>120</v>
      </c>
      <c r="AS338" s="21">
        <v>0.29699999999999999</v>
      </c>
      <c r="AT338">
        <v>242</v>
      </c>
      <c r="AU338" s="21">
        <v>0.71099999999999997</v>
      </c>
      <c r="AV338">
        <v>163</v>
      </c>
      <c r="AW338">
        <v>70.5</v>
      </c>
      <c r="AX338">
        <v>298</v>
      </c>
      <c r="AY338" s="21">
        <v>0.185</v>
      </c>
      <c r="AZ338">
        <v>302</v>
      </c>
      <c r="BA338" s="21">
        <v>0.15</v>
      </c>
    </row>
    <row r="339" spans="1:53" x14ac:dyDescent="0.25">
      <c r="A339" s="1" t="s">
        <v>602</v>
      </c>
      <c r="B339">
        <v>338</v>
      </c>
      <c r="C339">
        <v>-11.9</v>
      </c>
      <c r="D339">
        <v>191</v>
      </c>
      <c r="E339" t="s">
        <v>5</v>
      </c>
      <c r="F339">
        <v>245</v>
      </c>
      <c r="G339">
        <v>-3.9</v>
      </c>
      <c r="H339">
        <v>130</v>
      </c>
      <c r="I339">
        <v>-0.7</v>
      </c>
      <c r="J339">
        <v>308</v>
      </c>
      <c r="K339">
        <v>-1.9</v>
      </c>
      <c r="L339">
        <v>3</v>
      </c>
      <c r="M339">
        <v>7.5</v>
      </c>
      <c r="N339">
        <v>302</v>
      </c>
      <c r="O339">
        <v>0.92400000000000004</v>
      </c>
      <c r="P339">
        <v>206</v>
      </c>
      <c r="Q339">
        <v>1.169</v>
      </c>
      <c r="R339">
        <v>223</v>
      </c>
      <c r="S339">
        <v>0.44400000000000001</v>
      </c>
      <c r="T339">
        <v>359</v>
      </c>
      <c r="U339">
        <v>0.89400000000000002</v>
      </c>
      <c r="V339">
        <v>134</v>
      </c>
      <c r="W339">
        <v>0.95</v>
      </c>
      <c r="X339">
        <v>352</v>
      </c>
      <c r="Y339">
        <v>0.92200000000000004</v>
      </c>
      <c r="Z339">
        <v>272</v>
      </c>
      <c r="AA339">
        <v>1.0720000000000001</v>
      </c>
      <c r="AB339">
        <v>265</v>
      </c>
      <c r="AC339" s="21">
        <v>0.49199999999999999</v>
      </c>
      <c r="AD339" s="21">
        <v>0.47399999999999998</v>
      </c>
      <c r="AE339">
        <v>277</v>
      </c>
      <c r="AF339">
        <v>314</v>
      </c>
      <c r="AG339" s="21">
        <v>0.53800000000000003</v>
      </c>
      <c r="AH339">
        <v>355</v>
      </c>
      <c r="AI339">
        <v>14.276999999999999</v>
      </c>
      <c r="AJ339">
        <v>241</v>
      </c>
      <c r="AK339" s="21">
        <v>0.25700000000000001</v>
      </c>
      <c r="AL339">
        <v>23</v>
      </c>
      <c r="AM339" s="21">
        <v>0.39100000000000001</v>
      </c>
      <c r="AN339">
        <v>297</v>
      </c>
      <c r="AO339" s="21">
        <v>0.314</v>
      </c>
      <c r="AP339">
        <v>347</v>
      </c>
      <c r="AQ339" s="21">
        <v>0.374</v>
      </c>
      <c r="AR339">
        <v>249</v>
      </c>
      <c r="AS339" s="21">
        <v>0.253</v>
      </c>
      <c r="AT339">
        <v>359</v>
      </c>
      <c r="AU339" s="21">
        <v>0.65400000000000003</v>
      </c>
      <c r="AV339">
        <v>200</v>
      </c>
      <c r="AW339">
        <v>69.8</v>
      </c>
      <c r="AX339">
        <v>362</v>
      </c>
      <c r="AY339" s="21">
        <v>0.219</v>
      </c>
      <c r="AZ339">
        <v>49</v>
      </c>
      <c r="BA339" s="21">
        <v>0.19400000000000001</v>
      </c>
    </row>
    <row r="340" spans="1:53" x14ac:dyDescent="0.25">
      <c r="A340" s="1" t="s">
        <v>603</v>
      </c>
      <c r="B340">
        <v>339</v>
      </c>
      <c r="C340">
        <v>-11.9</v>
      </c>
      <c r="D340">
        <v>192</v>
      </c>
      <c r="E340" t="s">
        <v>5</v>
      </c>
      <c r="F340">
        <v>246</v>
      </c>
      <c r="G340">
        <v>-4</v>
      </c>
      <c r="H340">
        <v>238</v>
      </c>
      <c r="I340">
        <v>-3.9</v>
      </c>
      <c r="J340">
        <v>352</v>
      </c>
      <c r="K340">
        <v>-3.2</v>
      </c>
      <c r="L340">
        <v>161</v>
      </c>
      <c r="M340">
        <v>10.199999999999999</v>
      </c>
      <c r="N340">
        <v>191</v>
      </c>
      <c r="O340">
        <v>1.111</v>
      </c>
      <c r="P340">
        <v>347</v>
      </c>
      <c r="Q340">
        <v>1.5449999999999999</v>
      </c>
      <c r="R340">
        <v>326</v>
      </c>
      <c r="S340">
        <v>0.25</v>
      </c>
      <c r="T340">
        <v>360</v>
      </c>
      <c r="U340">
        <v>0.89300000000000002</v>
      </c>
      <c r="V340">
        <v>333</v>
      </c>
      <c r="W340">
        <v>0.99099999999999999</v>
      </c>
      <c r="X340">
        <v>288</v>
      </c>
      <c r="Y340">
        <v>0.99</v>
      </c>
      <c r="Z340">
        <v>353</v>
      </c>
      <c r="AA340">
        <v>1.141</v>
      </c>
      <c r="AB340">
        <v>169</v>
      </c>
      <c r="AC340" s="21">
        <v>0.50900000000000001</v>
      </c>
      <c r="AD340" s="21">
        <v>0.51</v>
      </c>
      <c r="AE340">
        <v>98</v>
      </c>
      <c r="AF340">
        <v>340</v>
      </c>
      <c r="AG340" s="21">
        <v>0.54800000000000004</v>
      </c>
      <c r="AH340">
        <v>69</v>
      </c>
      <c r="AI340">
        <v>21.965</v>
      </c>
      <c r="AJ340">
        <v>281</v>
      </c>
      <c r="AK340" s="21">
        <v>0.26600000000000001</v>
      </c>
      <c r="AL340">
        <v>83</v>
      </c>
      <c r="AM340" s="21">
        <v>0.34899999999999998</v>
      </c>
      <c r="AN340">
        <v>218</v>
      </c>
      <c r="AO340" s="21">
        <v>0.32900000000000001</v>
      </c>
      <c r="AP340">
        <v>340</v>
      </c>
      <c r="AQ340" s="21">
        <v>0.37</v>
      </c>
      <c r="AR340">
        <v>362</v>
      </c>
      <c r="AS340" s="21">
        <v>0.16300000000000001</v>
      </c>
      <c r="AT340">
        <v>292</v>
      </c>
      <c r="AU340" s="21">
        <v>0.69799999999999995</v>
      </c>
      <c r="AV340">
        <v>158</v>
      </c>
      <c r="AW340">
        <v>70.599999999999994</v>
      </c>
      <c r="AX340">
        <v>246</v>
      </c>
      <c r="AY340" s="21">
        <v>0.17699999999999999</v>
      </c>
      <c r="AZ340">
        <v>327</v>
      </c>
      <c r="BA340" s="21">
        <v>0.14299999999999999</v>
      </c>
    </row>
    <row r="341" spans="1:53" x14ac:dyDescent="0.25">
      <c r="A341" s="1" t="s">
        <v>125</v>
      </c>
      <c r="B341">
        <v>340</v>
      </c>
      <c r="C341">
        <v>-11.9</v>
      </c>
      <c r="D341">
        <v>341</v>
      </c>
      <c r="E341">
        <v>-16.600000000000001</v>
      </c>
      <c r="F341">
        <v>357</v>
      </c>
      <c r="G341">
        <v>-8.9</v>
      </c>
      <c r="H341">
        <v>360</v>
      </c>
      <c r="I341">
        <v>-10.8</v>
      </c>
      <c r="J341">
        <v>184</v>
      </c>
      <c r="K341">
        <v>0</v>
      </c>
      <c r="L341">
        <v>186</v>
      </c>
      <c r="M341">
        <v>10.4</v>
      </c>
      <c r="N341">
        <v>352</v>
      </c>
      <c r="O341">
        <v>0.79100000000000004</v>
      </c>
      <c r="P341">
        <v>302</v>
      </c>
      <c r="Q341">
        <v>1.333</v>
      </c>
      <c r="R341">
        <v>50</v>
      </c>
      <c r="S341">
        <v>0.66700000000000004</v>
      </c>
      <c r="T341">
        <v>257</v>
      </c>
      <c r="U341">
        <v>0.93899999999999995</v>
      </c>
      <c r="V341">
        <v>351</v>
      </c>
      <c r="W341">
        <v>0.999</v>
      </c>
      <c r="X341">
        <v>289</v>
      </c>
      <c r="Y341">
        <v>0.98899999999999999</v>
      </c>
      <c r="Z341">
        <v>304</v>
      </c>
      <c r="AA341">
        <v>1.089</v>
      </c>
      <c r="AB341">
        <v>218</v>
      </c>
      <c r="AC341" s="21">
        <v>0.501</v>
      </c>
      <c r="AD341" s="21">
        <v>0.50800000000000001</v>
      </c>
      <c r="AE341">
        <v>107</v>
      </c>
      <c r="AF341">
        <v>191</v>
      </c>
      <c r="AG341" s="21">
        <v>0.51100000000000001</v>
      </c>
      <c r="AH341">
        <v>340</v>
      </c>
      <c r="AI341">
        <v>15.653</v>
      </c>
      <c r="AJ341">
        <v>142</v>
      </c>
      <c r="AK341" s="21">
        <v>0.23400000000000001</v>
      </c>
      <c r="AL341">
        <v>82</v>
      </c>
      <c r="AM341" s="21">
        <v>0.34899999999999998</v>
      </c>
      <c r="AN341">
        <v>27</v>
      </c>
      <c r="AO341" s="21">
        <v>0.373</v>
      </c>
      <c r="AP341">
        <v>263</v>
      </c>
      <c r="AQ341" s="21">
        <v>0.35099999999999998</v>
      </c>
      <c r="AR341">
        <v>247</v>
      </c>
      <c r="AS341" s="21">
        <v>0.253</v>
      </c>
      <c r="AT341">
        <v>280</v>
      </c>
      <c r="AU341" s="21">
        <v>0.70099999999999996</v>
      </c>
      <c r="AV341">
        <v>319</v>
      </c>
      <c r="AW341">
        <v>67.3</v>
      </c>
      <c r="AX341">
        <v>252</v>
      </c>
      <c r="AY341" s="21">
        <v>0.17799999999999999</v>
      </c>
      <c r="AZ341">
        <v>335</v>
      </c>
      <c r="BA341" s="21">
        <v>0.14000000000000001</v>
      </c>
    </row>
    <row r="342" spans="1:53" x14ac:dyDescent="0.25">
      <c r="A342" s="1" t="s">
        <v>198</v>
      </c>
      <c r="B342">
        <v>341</v>
      </c>
      <c r="C342">
        <v>-12</v>
      </c>
      <c r="D342">
        <v>279</v>
      </c>
      <c r="E342">
        <v>-5.7</v>
      </c>
      <c r="F342">
        <v>308</v>
      </c>
      <c r="G342">
        <v>-6.1</v>
      </c>
      <c r="H342">
        <v>355</v>
      </c>
      <c r="I342">
        <v>-9.6</v>
      </c>
      <c r="J342">
        <v>220</v>
      </c>
      <c r="K342">
        <v>-0.6</v>
      </c>
      <c r="L342">
        <v>165</v>
      </c>
      <c r="M342">
        <v>10.199999999999999</v>
      </c>
      <c r="N342">
        <v>342</v>
      </c>
      <c r="O342">
        <v>0.82899999999999996</v>
      </c>
      <c r="P342">
        <v>348</v>
      </c>
      <c r="Q342">
        <v>1.548</v>
      </c>
      <c r="R342">
        <v>239</v>
      </c>
      <c r="S342">
        <v>0.42899999999999999</v>
      </c>
      <c r="T342">
        <v>301</v>
      </c>
      <c r="U342">
        <v>0.93</v>
      </c>
      <c r="V342">
        <v>344</v>
      </c>
      <c r="W342">
        <v>0.99399999999999999</v>
      </c>
      <c r="X342">
        <v>359</v>
      </c>
      <c r="Y342">
        <v>0.91</v>
      </c>
      <c r="Z342">
        <v>312</v>
      </c>
      <c r="AA342">
        <v>1.093</v>
      </c>
      <c r="AB342">
        <v>350</v>
      </c>
      <c r="AC342" s="21">
        <v>0.45400000000000001</v>
      </c>
      <c r="AD342" s="21">
        <v>0.434</v>
      </c>
      <c r="AE342">
        <v>357</v>
      </c>
      <c r="AF342">
        <v>194</v>
      </c>
      <c r="AG342" s="21">
        <v>0.51100000000000001</v>
      </c>
      <c r="AH342">
        <v>328</v>
      </c>
      <c r="AI342">
        <v>16.321999999999999</v>
      </c>
      <c r="AJ342">
        <v>251</v>
      </c>
      <c r="AK342" s="21">
        <v>0.25900000000000001</v>
      </c>
      <c r="AL342">
        <v>28</v>
      </c>
      <c r="AM342" s="21">
        <v>0.38700000000000001</v>
      </c>
      <c r="AN342">
        <v>350</v>
      </c>
      <c r="AO342" s="21">
        <v>0.29699999999999999</v>
      </c>
      <c r="AP342">
        <v>106</v>
      </c>
      <c r="AQ342" s="21">
        <v>0.32600000000000001</v>
      </c>
      <c r="AR342">
        <v>279</v>
      </c>
      <c r="AS342" s="21">
        <v>0.24299999999999999</v>
      </c>
      <c r="AT342">
        <v>130</v>
      </c>
      <c r="AU342" s="21">
        <v>0.73299999999999998</v>
      </c>
      <c r="AV342">
        <v>29</v>
      </c>
      <c r="AW342">
        <v>73.7</v>
      </c>
      <c r="AX342">
        <v>299</v>
      </c>
      <c r="AY342" s="21">
        <v>0.185</v>
      </c>
      <c r="AZ342">
        <v>348</v>
      </c>
      <c r="BA342" s="21">
        <v>0.13200000000000001</v>
      </c>
    </row>
    <row r="343" spans="1:53" x14ac:dyDescent="0.25">
      <c r="A343" s="1" t="s">
        <v>604</v>
      </c>
      <c r="B343">
        <v>342</v>
      </c>
      <c r="C343">
        <v>-12</v>
      </c>
      <c r="D343">
        <v>194</v>
      </c>
      <c r="E343" t="s">
        <v>5</v>
      </c>
      <c r="F343">
        <v>359</v>
      </c>
      <c r="G343">
        <v>-9.4</v>
      </c>
      <c r="H343">
        <v>346</v>
      </c>
      <c r="I343">
        <v>-8.6999999999999993</v>
      </c>
      <c r="J343">
        <v>27</v>
      </c>
      <c r="K343">
        <v>2.6</v>
      </c>
      <c r="L343">
        <v>46</v>
      </c>
      <c r="M343">
        <v>8.9</v>
      </c>
      <c r="N343">
        <v>130</v>
      </c>
      <c r="O343">
        <v>1.2230000000000001</v>
      </c>
      <c r="P343">
        <v>129</v>
      </c>
      <c r="Q343">
        <v>1.0509999999999999</v>
      </c>
      <c r="R343">
        <v>18</v>
      </c>
      <c r="S343">
        <v>0.77800000000000002</v>
      </c>
      <c r="T343">
        <v>284</v>
      </c>
      <c r="U343">
        <v>0.93200000000000005</v>
      </c>
      <c r="V343">
        <v>45</v>
      </c>
      <c r="W343">
        <v>0.92600000000000005</v>
      </c>
      <c r="X343">
        <v>286</v>
      </c>
      <c r="Y343">
        <v>0.99</v>
      </c>
      <c r="Z343">
        <v>288</v>
      </c>
      <c r="AA343">
        <v>1.08</v>
      </c>
      <c r="AB343">
        <v>285</v>
      </c>
      <c r="AC343" s="21">
        <v>0.48599999999999999</v>
      </c>
      <c r="AD343" s="21">
        <v>0.47</v>
      </c>
      <c r="AE343">
        <v>288</v>
      </c>
      <c r="AF343">
        <v>346</v>
      </c>
      <c r="AG343" s="21">
        <v>0.55000000000000004</v>
      </c>
      <c r="AH343">
        <v>149</v>
      </c>
      <c r="AI343">
        <v>20.213000000000001</v>
      </c>
      <c r="AJ343">
        <v>284</v>
      </c>
      <c r="AK343" s="21">
        <v>0.26800000000000002</v>
      </c>
      <c r="AL343">
        <v>164</v>
      </c>
      <c r="AM343" s="21">
        <v>0.31900000000000001</v>
      </c>
      <c r="AN343">
        <v>73</v>
      </c>
      <c r="AO343" s="21">
        <v>0.35699999999999998</v>
      </c>
      <c r="AP343">
        <v>290</v>
      </c>
      <c r="AQ343" s="21">
        <v>0.35699999999999998</v>
      </c>
      <c r="AR343">
        <v>342</v>
      </c>
      <c r="AS343" s="21">
        <v>0.20799999999999999</v>
      </c>
      <c r="AT343">
        <v>323</v>
      </c>
      <c r="AU343" s="21">
        <v>0.68600000000000005</v>
      </c>
      <c r="AV343">
        <v>348</v>
      </c>
      <c r="AW343">
        <v>66.400000000000006</v>
      </c>
      <c r="AX343">
        <v>135</v>
      </c>
      <c r="AY343" s="21">
        <v>0.161</v>
      </c>
      <c r="AZ343">
        <v>37</v>
      </c>
      <c r="BA343" s="21">
        <v>0.19900000000000001</v>
      </c>
    </row>
    <row r="344" spans="1:53" x14ac:dyDescent="0.25">
      <c r="A344" s="1" t="s">
        <v>458</v>
      </c>
      <c r="B344">
        <v>343</v>
      </c>
      <c r="C344">
        <v>-12.3</v>
      </c>
      <c r="D344">
        <v>313</v>
      </c>
      <c r="E344">
        <v>-11.4</v>
      </c>
      <c r="F344">
        <v>311</v>
      </c>
      <c r="G344">
        <v>-6.2</v>
      </c>
      <c r="H344">
        <v>349</v>
      </c>
      <c r="I344">
        <v>-8.9</v>
      </c>
      <c r="J344">
        <v>307</v>
      </c>
      <c r="K344">
        <v>-1.9</v>
      </c>
      <c r="L344">
        <v>132</v>
      </c>
      <c r="M344">
        <v>9.9</v>
      </c>
      <c r="N344">
        <v>241</v>
      </c>
      <c r="O344">
        <v>1.026</v>
      </c>
      <c r="P344">
        <v>340</v>
      </c>
      <c r="Q344">
        <v>1.4970000000000001</v>
      </c>
      <c r="R344">
        <v>309</v>
      </c>
      <c r="S344">
        <v>0.28599999999999998</v>
      </c>
      <c r="T344">
        <v>126</v>
      </c>
      <c r="U344">
        <v>0.96599999999999997</v>
      </c>
      <c r="V344">
        <v>323</v>
      </c>
      <c r="W344">
        <v>0.98499999999999999</v>
      </c>
      <c r="X344">
        <v>338</v>
      </c>
      <c r="Y344">
        <v>0.94499999999999995</v>
      </c>
      <c r="Z344">
        <v>325</v>
      </c>
      <c r="AA344">
        <v>1.099</v>
      </c>
      <c r="AB344">
        <v>354</v>
      </c>
      <c r="AC344" s="21">
        <v>0.45</v>
      </c>
      <c r="AD344" s="21">
        <v>0.44400000000000001</v>
      </c>
      <c r="AE344">
        <v>348</v>
      </c>
      <c r="AF344">
        <v>305</v>
      </c>
      <c r="AG344" s="21">
        <v>0.53600000000000003</v>
      </c>
      <c r="AH344">
        <v>239</v>
      </c>
      <c r="AI344">
        <v>18.623000000000001</v>
      </c>
      <c r="AJ344">
        <v>20</v>
      </c>
      <c r="AK344" s="21">
        <v>0.193</v>
      </c>
      <c r="AL344">
        <v>233</v>
      </c>
      <c r="AM344" s="21">
        <v>0.29499999999999998</v>
      </c>
      <c r="AN344">
        <v>243</v>
      </c>
      <c r="AO344" s="21">
        <v>0.32500000000000001</v>
      </c>
      <c r="AP344">
        <v>191</v>
      </c>
      <c r="AQ344" s="21">
        <v>0.34</v>
      </c>
      <c r="AR344">
        <v>201</v>
      </c>
      <c r="AS344" s="21">
        <v>0.27300000000000002</v>
      </c>
      <c r="AT344">
        <v>312</v>
      </c>
      <c r="AU344" s="21">
        <v>0.69199999999999995</v>
      </c>
      <c r="AV344">
        <v>194</v>
      </c>
      <c r="AW344">
        <v>70</v>
      </c>
      <c r="AX344">
        <v>181</v>
      </c>
      <c r="AY344" s="21">
        <v>0.16800000000000001</v>
      </c>
      <c r="AZ344">
        <v>255</v>
      </c>
      <c r="BA344" s="21">
        <v>0.157</v>
      </c>
    </row>
    <row r="345" spans="1:53" x14ac:dyDescent="0.25">
      <c r="A345" s="1" t="s">
        <v>36</v>
      </c>
      <c r="B345">
        <v>344</v>
      </c>
      <c r="C345">
        <v>-12.5</v>
      </c>
      <c r="D345">
        <v>193</v>
      </c>
      <c r="E345" t="s">
        <v>5</v>
      </c>
      <c r="F345">
        <v>332</v>
      </c>
      <c r="G345">
        <v>-7.1</v>
      </c>
      <c r="H345">
        <v>344</v>
      </c>
      <c r="I345">
        <v>-8.4</v>
      </c>
      <c r="J345">
        <v>361</v>
      </c>
      <c r="K345">
        <v>-4.4000000000000004</v>
      </c>
      <c r="L345">
        <v>145</v>
      </c>
      <c r="M345">
        <v>10</v>
      </c>
      <c r="N345">
        <v>180</v>
      </c>
      <c r="O345">
        <v>1.131</v>
      </c>
      <c r="P345">
        <v>337</v>
      </c>
      <c r="Q345">
        <v>1.49</v>
      </c>
      <c r="R345">
        <v>355</v>
      </c>
      <c r="S345">
        <v>0</v>
      </c>
      <c r="T345">
        <v>353</v>
      </c>
      <c r="U345">
        <v>0.90400000000000003</v>
      </c>
      <c r="V345">
        <v>252</v>
      </c>
      <c r="W345">
        <v>0.96799999999999997</v>
      </c>
      <c r="X345">
        <v>192</v>
      </c>
      <c r="Y345">
        <v>1.0289999999999999</v>
      </c>
      <c r="Z345">
        <v>363</v>
      </c>
      <c r="AA345">
        <v>1.18</v>
      </c>
      <c r="AB345">
        <v>62</v>
      </c>
      <c r="AC345" s="21">
        <v>0.53700000000000003</v>
      </c>
      <c r="AD345" s="21">
        <v>0.52500000000000002</v>
      </c>
      <c r="AE345">
        <v>59</v>
      </c>
      <c r="AF345">
        <v>364</v>
      </c>
      <c r="AG345" s="21">
        <v>0.58099999999999996</v>
      </c>
      <c r="AH345">
        <v>323</v>
      </c>
      <c r="AI345">
        <v>16.364999999999998</v>
      </c>
      <c r="AJ345">
        <v>244</v>
      </c>
      <c r="AK345" s="21">
        <v>0.25800000000000001</v>
      </c>
      <c r="AL345">
        <v>68</v>
      </c>
      <c r="AM345" s="21">
        <v>0.36199999999999999</v>
      </c>
      <c r="AN345">
        <v>80</v>
      </c>
      <c r="AO345" s="21">
        <v>0.35599999999999998</v>
      </c>
      <c r="AP345">
        <v>361</v>
      </c>
      <c r="AQ345" s="21">
        <v>0.39</v>
      </c>
      <c r="AR345">
        <v>358</v>
      </c>
      <c r="AS345" s="21">
        <v>0.17799999999999999</v>
      </c>
      <c r="AT345">
        <v>245</v>
      </c>
      <c r="AU345" s="21">
        <v>0.71099999999999997</v>
      </c>
      <c r="AV345">
        <v>242</v>
      </c>
      <c r="AW345">
        <v>68.900000000000006</v>
      </c>
      <c r="AX345">
        <v>207</v>
      </c>
      <c r="AY345" s="21">
        <v>0.17199999999999999</v>
      </c>
      <c r="AZ345">
        <v>295</v>
      </c>
      <c r="BA345" s="21">
        <v>0.151</v>
      </c>
    </row>
    <row r="346" spans="1:53" x14ac:dyDescent="0.25">
      <c r="A346" s="1" t="s">
        <v>79</v>
      </c>
      <c r="B346">
        <v>345</v>
      </c>
      <c r="C346">
        <v>-12.6</v>
      </c>
      <c r="D346">
        <v>188</v>
      </c>
      <c r="E346" t="s">
        <v>5</v>
      </c>
      <c r="F346">
        <v>298</v>
      </c>
      <c r="G346">
        <v>-5.7</v>
      </c>
      <c r="H346">
        <v>323</v>
      </c>
      <c r="I346">
        <v>-7.2</v>
      </c>
      <c r="J346">
        <v>112</v>
      </c>
      <c r="K346">
        <v>1</v>
      </c>
      <c r="L346">
        <v>236</v>
      </c>
      <c r="M346">
        <v>10.7</v>
      </c>
      <c r="N346">
        <v>306</v>
      </c>
      <c r="O346">
        <v>0.92200000000000004</v>
      </c>
      <c r="P346">
        <v>304</v>
      </c>
      <c r="Q346">
        <v>1.3380000000000001</v>
      </c>
      <c r="R346">
        <v>251</v>
      </c>
      <c r="S346">
        <v>0.4</v>
      </c>
      <c r="T346">
        <v>340</v>
      </c>
      <c r="U346">
        <v>0.91300000000000003</v>
      </c>
      <c r="V346">
        <v>271</v>
      </c>
      <c r="W346">
        <v>0.97099999999999997</v>
      </c>
      <c r="X346">
        <v>329</v>
      </c>
      <c r="Y346">
        <v>0.95399999999999996</v>
      </c>
      <c r="Z346">
        <v>334</v>
      </c>
      <c r="AA346">
        <v>1.1060000000000001</v>
      </c>
      <c r="AB346">
        <v>275</v>
      </c>
      <c r="AC346" s="21">
        <v>0.48799999999999999</v>
      </c>
      <c r="AD346" s="21">
        <v>0.498</v>
      </c>
      <c r="AE346">
        <v>162</v>
      </c>
      <c r="AF346">
        <v>323</v>
      </c>
      <c r="AG346" s="21">
        <v>0.54200000000000004</v>
      </c>
      <c r="AH346">
        <v>261</v>
      </c>
      <c r="AI346">
        <v>18.099</v>
      </c>
      <c r="AJ346">
        <v>135</v>
      </c>
      <c r="AK346" s="21">
        <v>0.23300000000000001</v>
      </c>
      <c r="AL346">
        <v>123</v>
      </c>
      <c r="AM346" s="21">
        <v>0.33300000000000002</v>
      </c>
      <c r="AN346">
        <v>336</v>
      </c>
      <c r="AO346" s="21">
        <v>0.30499999999999999</v>
      </c>
      <c r="AP346">
        <v>343</v>
      </c>
      <c r="AQ346" s="21">
        <v>0.372</v>
      </c>
      <c r="AR346">
        <v>314</v>
      </c>
      <c r="AS346" s="21">
        <v>0.22900000000000001</v>
      </c>
      <c r="AT346">
        <v>267</v>
      </c>
      <c r="AU346" s="21">
        <v>0.70499999999999996</v>
      </c>
      <c r="AV346">
        <v>30</v>
      </c>
      <c r="AW346">
        <v>73.7</v>
      </c>
      <c r="AX346">
        <v>321</v>
      </c>
      <c r="AY346" s="21">
        <v>0.191</v>
      </c>
      <c r="AZ346">
        <v>241</v>
      </c>
      <c r="BA346" s="21">
        <v>0.159</v>
      </c>
    </row>
    <row r="347" spans="1:53" x14ac:dyDescent="0.25">
      <c r="A347" s="1" t="s">
        <v>605</v>
      </c>
      <c r="B347">
        <v>346</v>
      </c>
      <c r="C347">
        <v>-12.7</v>
      </c>
      <c r="D347">
        <v>305</v>
      </c>
      <c r="E347">
        <v>-10</v>
      </c>
      <c r="F347">
        <v>330</v>
      </c>
      <c r="G347">
        <v>-6.9</v>
      </c>
      <c r="H347">
        <v>342</v>
      </c>
      <c r="I347">
        <v>-8.1999999999999993</v>
      </c>
      <c r="J347">
        <v>226</v>
      </c>
      <c r="K347">
        <v>-0.6</v>
      </c>
      <c r="L347">
        <v>17</v>
      </c>
      <c r="M347">
        <v>8.1</v>
      </c>
      <c r="N347">
        <v>210</v>
      </c>
      <c r="O347">
        <v>1.0669999999999999</v>
      </c>
      <c r="P347">
        <v>342</v>
      </c>
      <c r="Q347">
        <v>1.524</v>
      </c>
      <c r="R347">
        <v>116</v>
      </c>
      <c r="S347">
        <v>0.57099999999999995</v>
      </c>
      <c r="T347">
        <v>249</v>
      </c>
      <c r="U347">
        <v>0.94099999999999995</v>
      </c>
      <c r="V347">
        <v>151</v>
      </c>
      <c r="W347">
        <v>0.95199999999999996</v>
      </c>
      <c r="X347">
        <v>322</v>
      </c>
      <c r="Y347">
        <v>0.96099999999999997</v>
      </c>
      <c r="Z347">
        <v>340</v>
      </c>
      <c r="AA347">
        <v>1.113</v>
      </c>
      <c r="AB347">
        <v>319</v>
      </c>
      <c r="AC347" s="21">
        <v>0.47399999999999998</v>
      </c>
      <c r="AD347" s="21">
        <v>0.46600000000000003</v>
      </c>
      <c r="AE347">
        <v>303</v>
      </c>
      <c r="AF347">
        <v>359</v>
      </c>
      <c r="AG347" s="21">
        <v>0.56799999999999995</v>
      </c>
      <c r="AH347">
        <v>294</v>
      </c>
      <c r="AI347">
        <v>17.242000000000001</v>
      </c>
      <c r="AJ347">
        <v>5</v>
      </c>
      <c r="AK347" s="21">
        <v>0.17399999999999999</v>
      </c>
      <c r="AL347">
        <v>58</v>
      </c>
      <c r="AM347" s="21">
        <v>0.36699999999999999</v>
      </c>
      <c r="AN347">
        <v>351</v>
      </c>
      <c r="AO347" s="21">
        <v>0.29599999999999999</v>
      </c>
      <c r="AP347">
        <v>360</v>
      </c>
      <c r="AQ347" s="21">
        <v>0.38700000000000001</v>
      </c>
      <c r="AR347">
        <v>243</v>
      </c>
      <c r="AS347" s="21">
        <v>0.255</v>
      </c>
      <c r="AT347">
        <v>151</v>
      </c>
      <c r="AU347" s="21">
        <v>0.73</v>
      </c>
      <c r="AV347">
        <v>122</v>
      </c>
      <c r="AW347">
        <v>71.3</v>
      </c>
      <c r="AX347">
        <v>243</v>
      </c>
      <c r="AY347" s="21">
        <v>0.17599999999999999</v>
      </c>
      <c r="AZ347">
        <v>221</v>
      </c>
      <c r="BA347" s="21">
        <v>0.16200000000000001</v>
      </c>
    </row>
    <row r="348" spans="1:53" x14ac:dyDescent="0.25">
      <c r="A348" s="1" t="s">
        <v>85</v>
      </c>
      <c r="B348">
        <v>347</v>
      </c>
      <c r="C348">
        <v>-12.7</v>
      </c>
      <c r="D348">
        <v>363</v>
      </c>
      <c r="E348">
        <v>-26.6</v>
      </c>
      <c r="F348">
        <v>292</v>
      </c>
      <c r="G348">
        <v>-5.4</v>
      </c>
      <c r="H348">
        <v>327</v>
      </c>
      <c r="I348">
        <v>-7.3</v>
      </c>
      <c r="J348">
        <v>298</v>
      </c>
      <c r="K348">
        <v>-1.8</v>
      </c>
      <c r="L348">
        <v>125</v>
      </c>
      <c r="M348">
        <v>9.8000000000000007</v>
      </c>
      <c r="N348">
        <v>307</v>
      </c>
      <c r="O348">
        <v>0.92100000000000004</v>
      </c>
      <c r="P348">
        <v>199</v>
      </c>
      <c r="Q348">
        <v>1.1579999999999999</v>
      </c>
      <c r="R348">
        <v>355</v>
      </c>
      <c r="S348">
        <v>0</v>
      </c>
      <c r="T348">
        <v>338</v>
      </c>
      <c r="U348">
        <v>0.91400000000000003</v>
      </c>
      <c r="V348">
        <v>269</v>
      </c>
      <c r="W348">
        <v>0.97099999999999997</v>
      </c>
      <c r="X348">
        <v>315</v>
      </c>
      <c r="Y348">
        <v>0.96699999999999997</v>
      </c>
      <c r="Z348">
        <v>351</v>
      </c>
      <c r="AA348">
        <v>1.1399999999999999</v>
      </c>
      <c r="AB348">
        <v>235</v>
      </c>
      <c r="AC348" s="21">
        <v>0.498</v>
      </c>
      <c r="AD348" s="21">
        <v>0.48499999999999999</v>
      </c>
      <c r="AE348">
        <v>232</v>
      </c>
      <c r="AF348">
        <v>352</v>
      </c>
      <c r="AG348" s="21">
        <v>0.56100000000000005</v>
      </c>
      <c r="AH348">
        <v>317</v>
      </c>
      <c r="AI348">
        <v>16.548999999999999</v>
      </c>
      <c r="AJ348">
        <v>325</v>
      </c>
      <c r="AK348" s="21">
        <v>0.28299999999999997</v>
      </c>
      <c r="AL348">
        <v>301</v>
      </c>
      <c r="AM348" s="21">
        <v>0.27100000000000002</v>
      </c>
      <c r="AN348">
        <v>352</v>
      </c>
      <c r="AO348" s="21">
        <v>0.29399999999999998</v>
      </c>
      <c r="AP348">
        <v>266</v>
      </c>
      <c r="AQ348" s="21">
        <v>0.35199999999999998</v>
      </c>
      <c r="AR348">
        <v>319</v>
      </c>
      <c r="AS348" s="21">
        <v>0.22600000000000001</v>
      </c>
      <c r="AT348">
        <v>332</v>
      </c>
      <c r="AU348" s="21">
        <v>0.68200000000000005</v>
      </c>
      <c r="AV348">
        <v>10</v>
      </c>
      <c r="AW348">
        <v>75</v>
      </c>
      <c r="AX348">
        <v>304</v>
      </c>
      <c r="AY348" s="21">
        <v>0.187</v>
      </c>
      <c r="AZ348">
        <v>204</v>
      </c>
      <c r="BA348" s="21">
        <v>0.16300000000000001</v>
      </c>
    </row>
    <row r="349" spans="1:53" x14ac:dyDescent="0.25">
      <c r="A349" s="1" t="s">
        <v>606</v>
      </c>
      <c r="B349">
        <v>348</v>
      </c>
      <c r="C349">
        <v>-12.8</v>
      </c>
      <c r="D349">
        <v>274</v>
      </c>
      <c r="E349">
        <v>-5.4</v>
      </c>
      <c r="F349">
        <v>290</v>
      </c>
      <c r="G349">
        <v>-5.4</v>
      </c>
      <c r="H349">
        <v>240</v>
      </c>
      <c r="I349">
        <v>-3.9</v>
      </c>
      <c r="J349">
        <v>278</v>
      </c>
      <c r="K349">
        <v>-1.4</v>
      </c>
      <c r="L349">
        <v>53</v>
      </c>
      <c r="M349">
        <v>9</v>
      </c>
      <c r="N349">
        <v>162</v>
      </c>
      <c r="O349">
        <v>1.1579999999999999</v>
      </c>
      <c r="P349">
        <v>314</v>
      </c>
      <c r="Q349">
        <v>1.3759999999999999</v>
      </c>
      <c r="R349">
        <v>223</v>
      </c>
      <c r="S349">
        <v>0.44400000000000001</v>
      </c>
      <c r="T349">
        <v>173</v>
      </c>
      <c r="U349">
        <v>0.95699999999999996</v>
      </c>
      <c r="V349">
        <v>128</v>
      </c>
      <c r="W349">
        <v>0.94799999999999995</v>
      </c>
      <c r="X349">
        <v>321</v>
      </c>
      <c r="Y349">
        <v>0.96199999999999997</v>
      </c>
      <c r="Z349">
        <v>343</v>
      </c>
      <c r="AA349">
        <v>1.119</v>
      </c>
      <c r="AB349">
        <v>324</v>
      </c>
      <c r="AC349" s="21">
        <v>0.47199999999999998</v>
      </c>
      <c r="AD349" s="21">
        <v>0.46800000000000003</v>
      </c>
      <c r="AE349">
        <v>298</v>
      </c>
      <c r="AF349">
        <v>353</v>
      </c>
      <c r="AG349" s="21">
        <v>0.56100000000000005</v>
      </c>
      <c r="AH349">
        <v>312</v>
      </c>
      <c r="AI349">
        <v>16.748999999999999</v>
      </c>
      <c r="AJ349">
        <v>277</v>
      </c>
      <c r="AK349" s="21">
        <v>0.26400000000000001</v>
      </c>
      <c r="AL349">
        <v>353</v>
      </c>
      <c r="AM349" s="21">
        <v>0.23499999999999999</v>
      </c>
      <c r="AN349">
        <v>349</v>
      </c>
      <c r="AO349" s="21">
        <v>0.29699999999999999</v>
      </c>
      <c r="AP349">
        <v>334</v>
      </c>
      <c r="AQ349" s="21">
        <v>0.36799999999999999</v>
      </c>
      <c r="AR349">
        <v>274</v>
      </c>
      <c r="AS349" s="21">
        <v>0.245</v>
      </c>
      <c r="AT349">
        <v>144</v>
      </c>
      <c r="AU349" s="21">
        <v>0.73099999999999998</v>
      </c>
      <c r="AV349">
        <v>167</v>
      </c>
      <c r="AW349">
        <v>70.5</v>
      </c>
      <c r="AX349">
        <v>123</v>
      </c>
      <c r="AY349" s="21">
        <v>0.159</v>
      </c>
      <c r="AZ349">
        <v>212</v>
      </c>
      <c r="BA349" s="21">
        <v>0.16200000000000001</v>
      </c>
    </row>
    <row r="350" spans="1:53" x14ac:dyDescent="0.25">
      <c r="A350" s="1" t="s">
        <v>228</v>
      </c>
      <c r="B350">
        <v>349</v>
      </c>
      <c r="C350">
        <v>-12.9</v>
      </c>
      <c r="D350">
        <v>210</v>
      </c>
      <c r="E350">
        <v>-0.6</v>
      </c>
      <c r="F350">
        <v>313</v>
      </c>
      <c r="G350">
        <v>-6.2</v>
      </c>
      <c r="H350">
        <v>313</v>
      </c>
      <c r="I350">
        <v>-6.5</v>
      </c>
      <c r="J350">
        <v>321</v>
      </c>
      <c r="K350">
        <v>-2.2000000000000002</v>
      </c>
      <c r="L350">
        <v>281</v>
      </c>
      <c r="M350">
        <v>11.2</v>
      </c>
      <c r="N350">
        <v>351</v>
      </c>
      <c r="O350">
        <v>0.79300000000000004</v>
      </c>
      <c r="P350">
        <v>329</v>
      </c>
      <c r="Q350">
        <v>1.421</v>
      </c>
      <c r="R350">
        <v>279</v>
      </c>
      <c r="S350">
        <v>0.33300000000000002</v>
      </c>
      <c r="T350">
        <v>210</v>
      </c>
      <c r="U350">
        <v>0.94899999999999995</v>
      </c>
      <c r="V350">
        <v>355</v>
      </c>
      <c r="W350">
        <v>1.0029999999999999</v>
      </c>
      <c r="X350">
        <v>349</v>
      </c>
      <c r="Y350">
        <v>0.92800000000000005</v>
      </c>
      <c r="Z350">
        <v>276</v>
      </c>
      <c r="AA350">
        <v>1.0740000000000001</v>
      </c>
      <c r="AB350">
        <v>351</v>
      </c>
      <c r="AC350" s="21">
        <v>0.45300000000000001</v>
      </c>
      <c r="AD350" s="21">
        <v>0.46600000000000003</v>
      </c>
      <c r="AE350">
        <v>303</v>
      </c>
      <c r="AF350">
        <v>134</v>
      </c>
      <c r="AG350" s="21">
        <v>0.5</v>
      </c>
      <c r="AH350">
        <v>311</v>
      </c>
      <c r="AI350">
        <v>16.754000000000001</v>
      </c>
      <c r="AJ350">
        <v>337</v>
      </c>
      <c r="AK350" s="21">
        <v>0.28799999999999998</v>
      </c>
      <c r="AL350">
        <v>188</v>
      </c>
      <c r="AM350" s="21">
        <v>0.313</v>
      </c>
      <c r="AN350">
        <v>332</v>
      </c>
      <c r="AO350" s="21">
        <v>0.30499999999999999</v>
      </c>
      <c r="AP350">
        <v>37</v>
      </c>
      <c r="AQ350" s="21">
        <v>0.31</v>
      </c>
      <c r="AR350">
        <v>240</v>
      </c>
      <c r="AS350" s="21">
        <v>0.25600000000000001</v>
      </c>
      <c r="AT350">
        <v>271</v>
      </c>
      <c r="AU350" s="21">
        <v>0.70399999999999996</v>
      </c>
      <c r="AV350">
        <v>248</v>
      </c>
      <c r="AW350">
        <v>68.8</v>
      </c>
      <c r="AX350">
        <v>233</v>
      </c>
      <c r="AY350" s="21">
        <v>0.17499999999999999</v>
      </c>
      <c r="AZ350">
        <v>345</v>
      </c>
      <c r="BA350" s="21">
        <v>0.13500000000000001</v>
      </c>
    </row>
    <row r="351" spans="1:53" x14ac:dyDescent="0.25">
      <c r="A351" s="1" t="s">
        <v>209</v>
      </c>
      <c r="B351">
        <v>350</v>
      </c>
      <c r="C351">
        <v>-12.9</v>
      </c>
      <c r="D351">
        <v>195</v>
      </c>
      <c r="E351" t="s">
        <v>5</v>
      </c>
      <c r="F351">
        <v>331</v>
      </c>
      <c r="G351">
        <v>-6.9</v>
      </c>
      <c r="H351">
        <v>352</v>
      </c>
      <c r="I351">
        <v>-9.1</v>
      </c>
      <c r="J351">
        <v>343</v>
      </c>
      <c r="K351">
        <v>-2.8</v>
      </c>
      <c r="L351">
        <v>347</v>
      </c>
      <c r="M351">
        <v>12.4</v>
      </c>
      <c r="N351">
        <v>245</v>
      </c>
      <c r="O351">
        <v>1.022</v>
      </c>
      <c r="P351">
        <v>251</v>
      </c>
      <c r="Q351">
        <v>1.23</v>
      </c>
      <c r="R351">
        <v>348</v>
      </c>
      <c r="S351">
        <v>0.111</v>
      </c>
      <c r="T351">
        <v>347</v>
      </c>
      <c r="U351">
        <v>0.90900000000000003</v>
      </c>
      <c r="V351">
        <v>206</v>
      </c>
      <c r="W351">
        <v>0.96099999999999997</v>
      </c>
      <c r="X351">
        <v>350</v>
      </c>
      <c r="Y351">
        <v>0.92600000000000005</v>
      </c>
      <c r="Z351">
        <v>310</v>
      </c>
      <c r="AA351">
        <v>1.0920000000000001</v>
      </c>
      <c r="AB351">
        <v>326</v>
      </c>
      <c r="AC351" s="21">
        <v>0.47099999999999997</v>
      </c>
      <c r="AD351" s="21">
        <v>0.46100000000000002</v>
      </c>
      <c r="AE351">
        <v>320</v>
      </c>
      <c r="AF351">
        <v>292</v>
      </c>
      <c r="AG351" s="21">
        <v>0.53200000000000003</v>
      </c>
      <c r="AH351">
        <v>278</v>
      </c>
      <c r="AI351">
        <v>17.754000000000001</v>
      </c>
      <c r="AJ351">
        <v>358</v>
      </c>
      <c r="AK351" s="21">
        <v>0.31</v>
      </c>
      <c r="AL351">
        <v>6</v>
      </c>
      <c r="AM351" s="21">
        <v>0.41299999999999998</v>
      </c>
      <c r="AN351">
        <v>232</v>
      </c>
      <c r="AO351" s="21">
        <v>0.32700000000000001</v>
      </c>
      <c r="AP351">
        <v>355</v>
      </c>
      <c r="AQ351" s="21">
        <v>0.38</v>
      </c>
      <c r="AR351">
        <v>364</v>
      </c>
      <c r="AS351" s="21">
        <v>0.14499999999999999</v>
      </c>
      <c r="AT351">
        <v>234</v>
      </c>
      <c r="AU351" s="21">
        <v>0.71299999999999997</v>
      </c>
      <c r="AV351">
        <v>49</v>
      </c>
      <c r="AW351">
        <v>72.8</v>
      </c>
      <c r="AX351">
        <v>121</v>
      </c>
      <c r="AY351" s="21">
        <v>0.159</v>
      </c>
      <c r="AZ351">
        <v>219</v>
      </c>
      <c r="BA351" s="21">
        <v>0.16200000000000001</v>
      </c>
    </row>
    <row r="352" spans="1:53" x14ac:dyDescent="0.25">
      <c r="A352" s="1" t="s">
        <v>459</v>
      </c>
      <c r="B352">
        <v>351</v>
      </c>
      <c r="C352">
        <v>-13</v>
      </c>
      <c r="D352">
        <v>121</v>
      </c>
      <c r="E352">
        <v>4.2</v>
      </c>
      <c r="F352">
        <v>353</v>
      </c>
      <c r="G352">
        <v>-8.3000000000000007</v>
      </c>
      <c r="H352">
        <v>320</v>
      </c>
      <c r="I352">
        <v>-6.8</v>
      </c>
      <c r="J352">
        <v>282</v>
      </c>
      <c r="K352">
        <v>-1.5</v>
      </c>
      <c r="L352">
        <v>160</v>
      </c>
      <c r="M352">
        <v>10.199999999999999</v>
      </c>
      <c r="N352">
        <v>276</v>
      </c>
      <c r="O352">
        <v>0.97299999999999998</v>
      </c>
      <c r="P352">
        <v>321</v>
      </c>
      <c r="Q352">
        <v>1.397</v>
      </c>
      <c r="R352">
        <v>213</v>
      </c>
      <c r="S352">
        <v>0.45500000000000002</v>
      </c>
      <c r="T352">
        <v>344</v>
      </c>
      <c r="U352">
        <v>0.91100000000000003</v>
      </c>
      <c r="V352">
        <v>320</v>
      </c>
      <c r="W352">
        <v>0.98399999999999999</v>
      </c>
      <c r="X352">
        <v>258</v>
      </c>
      <c r="Y352">
        <v>1.006</v>
      </c>
      <c r="Z352">
        <v>349</v>
      </c>
      <c r="AA352">
        <v>1.139</v>
      </c>
      <c r="AB352">
        <v>137</v>
      </c>
      <c r="AC352" s="21">
        <v>0.51500000000000001</v>
      </c>
      <c r="AD352" s="21">
        <v>0.52800000000000002</v>
      </c>
      <c r="AE352">
        <v>52</v>
      </c>
      <c r="AF352">
        <v>337</v>
      </c>
      <c r="AG352" s="21">
        <v>0.54700000000000004</v>
      </c>
      <c r="AH352">
        <v>123</v>
      </c>
      <c r="AI352">
        <v>20.747</v>
      </c>
      <c r="AJ352">
        <v>288</v>
      </c>
      <c r="AK352" s="21">
        <v>0.26900000000000002</v>
      </c>
      <c r="AL352">
        <v>190</v>
      </c>
      <c r="AM352" s="21">
        <v>0.313</v>
      </c>
      <c r="AN352">
        <v>229</v>
      </c>
      <c r="AO352" s="21">
        <v>0.32800000000000001</v>
      </c>
      <c r="AP352">
        <v>340</v>
      </c>
      <c r="AQ352" s="21">
        <v>0.37</v>
      </c>
      <c r="AR352">
        <v>275</v>
      </c>
      <c r="AS352" s="21">
        <v>0.24399999999999999</v>
      </c>
      <c r="AT352">
        <v>338</v>
      </c>
      <c r="AU352" s="21">
        <v>0.67700000000000005</v>
      </c>
      <c r="AV352">
        <v>112</v>
      </c>
      <c r="AW352">
        <v>71.5</v>
      </c>
      <c r="AX352">
        <v>331</v>
      </c>
      <c r="AY352" s="21">
        <v>0.193</v>
      </c>
      <c r="AZ352">
        <v>229</v>
      </c>
      <c r="BA352" s="21">
        <v>0.161</v>
      </c>
    </row>
    <row r="353" spans="1:53" x14ac:dyDescent="0.25">
      <c r="A353" s="1" t="s">
        <v>172</v>
      </c>
      <c r="B353">
        <v>352</v>
      </c>
      <c r="C353">
        <v>-13.6</v>
      </c>
      <c r="D353">
        <v>344</v>
      </c>
      <c r="E353">
        <v>-17.600000000000001</v>
      </c>
      <c r="F353">
        <v>337</v>
      </c>
      <c r="G353">
        <v>-7.3</v>
      </c>
      <c r="H353">
        <v>335</v>
      </c>
      <c r="I353">
        <v>-7.6</v>
      </c>
      <c r="J353">
        <v>241</v>
      </c>
      <c r="K353">
        <v>-0.8</v>
      </c>
      <c r="L353">
        <v>270</v>
      </c>
      <c r="M353">
        <v>11</v>
      </c>
      <c r="N353">
        <v>329</v>
      </c>
      <c r="O353">
        <v>0.86399999999999999</v>
      </c>
      <c r="P353">
        <v>363</v>
      </c>
      <c r="Q353">
        <v>1.7949999999999999</v>
      </c>
      <c r="R353">
        <v>223</v>
      </c>
      <c r="S353">
        <v>0.44400000000000001</v>
      </c>
      <c r="T353">
        <v>342</v>
      </c>
      <c r="U353">
        <v>0.91200000000000003</v>
      </c>
      <c r="V353">
        <v>360</v>
      </c>
      <c r="W353">
        <v>1.02</v>
      </c>
      <c r="X353">
        <v>301</v>
      </c>
      <c r="Y353">
        <v>0.98099999999999998</v>
      </c>
      <c r="Z353">
        <v>356</v>
      </c>
      <c r="AA353">
        <v>1.1499999999999999</v>
      </c>
      <c r="AB353">
        <v>206</v>
      </c>
      <c r="AC353" s="21">
        <v>0.503</v>
      </c>
      <c r="AD353" s="21">
        <v>0.49399999999999999</v>
      </c>
      <c r="AE353">
        <v>185</v>
      </c>
      <c r="AF353">
        <v>285</v>
      </c>
      <c r="AG353" s="21">
        <v>0.53100000000000003</v>
      </c>
      <c r="AH353">
        <v>203</v>
      </c>
      <c r="AI353">
        <v>19.198</v>
      </c>
      <c r="AJ353">
        <v>81</v>
      </c>
      <c r="AK353" s="21">
        <v>0.218</v>
      </c>
      <c r="AL353">
        <v>212</v>
      </c>
      <c r="AM353" s="21">
        <v>0.30299999999999999</v>
      </c>
      <c r="AN353">
        <v>187</v>
      </c>
      <c r="AO353" s="21">
        <v>0.33600000000000002</v>
      </c>
      <c r="AP353">
        <v>306</v>
      </c>
      <c r="AQ353" s="21">
        <v>0.35899999999999999</v>
      </c>
      <c r="AR353">
        <v>334</v>
      </c>
      <c r="AS353" s="21">
        <v>0.217</v>
      </c>
      <c r="AT353">
        <v>333</v>
      </c>
      <c r="AU353" s="21">
        <v>0.68200000000000005</v>
      </c>
      <c r="AV353">
        <v>127</v>
      </c>
      <c r="AW353">
        <v>71.2</v>
      </c>
      <c r="AX353">
        <v>285</v>
      </c>
      <c r="AY353" s="21">
        <v>0.182</v>
      </c>
      <c r="AZ353">
        <v>356</v>
      </c>
      <c r="BA353" s="21">
        <v>0.128</v>
      </c>
    </row>
    <row r="354" spans="1:53" x14ac:dyDescent="0.25">
      <c r="A354" s="1" t="s">
        <v>127</v>
      </c>
      <c r="B354">
        <v>353</v>
      </c>
      <c r="C354">
        <v>-14.1</v>
      </c>
      <c r="D354">
        <v>348</v>
      </c>
      <c r="E354">
        <v>-19</v>
      </c>
      <c r="F354">
        <v>235</v>
      </c>
      <c r="G354">
        <v>-3.7</v>
      </c>
      <c r="H354">
        <v>101</v>
      </c>
      <c r="I354">
        <v>0.5</v>
      </c>
      <c r="J354">
        <v>259</v>
      </c>
      <c r="K354">
        <v>-1</v>
      </c>
      <c r="L354">
        <v>251</v>
      </c>
      <c r="M354">
        <v>10.9</v>
      </c>
      <c r="N354">
        <v>299</v>
      </c>
      <c r="O354">
        <v>0.93100000000000005</v>
      </c>
      <c r="P354">
        <v>351</v>
      </c>
      <c r="Q354">
        <v>1.5669999999999999</v>
      </c>
      <c r="R354">
        <v>355</v>
      </c>
      <c r="S354">
        <v>0</v>
      </c>
      <c r="T354">
        <v>205</v>
      </c>
      <c r="U354">
        <v>0.95</v>
      </c>
      <c r="V354">
        <v>353</v>
      </c>
      <c r="W354">
        <v>0.999</v>
      </c>
      <c r="X354">
        <v>342</v>
      </c>
      <c r="Y354">
        <v>0.94</v>
      </c>
      <c r="Z354">
        <v>354</v>
      </c>
      <c r="AA354">
        <v>1.141</v>
      </c>
      <c r="AB354">
        <v>344</v>
      </c>
      <c r="AC354" s="21">
        <v>0.45900000000000002</v>
      </c>
      <c r="AD354" s="21">
        <v>0.45600000000000002</v>
      </c>
      <c r="AE354">
        <v>334</v>
      </c>
      <c r="AF354">
        <v>344</v>
      </c>
      <c r="AG354" s="21">
        <v>0.54900000000000004</v>
      </c>
      <c r="AH354">
        <v>240</v>
      </c>
      <c r="AI354">
        <v>18.613</v>
      </c>
      <c r="AJ354">
        <v>36</v>
      </c>
      <c r="AK354" s="21">
        <v>0.20300000000000001</v>
      </c>
      <c r="AL354">
        <v>341</v>
      </c>
      <c r="AM354" s="21">
        <v>0.245</v>
      </c>
      <c r="AN354">
        <v>337</v>
      </c>
      <c r="AO354" s="21">
        <v>0.30399999999999999</v>
      </c>
      <c r="AP354">
        <v>327</v>
      </c>
      <c r="AQ354" s="21">
        <v>0.36399999999999999</v>
      </c>
      <c r="AR354">
        <v>175</v>
      </c>
      <c r="AS354" s="21">
        <v>0.28000000000000003</v>
      </c>
      <c r="AT354">
        <v>356</v>
      </c>
      <c r="AU354" s="21">
        <v>0.66200000000000003</v>
      </c>
      <c r="AV354">
        <v>74</v>
      </c>
      <c r="AW354">
        <v>72.3</v>
      </c>
      <c r="AX354">
        <v>284</v>
      </c>
      <c r="AY354" s="21">
        <v>0.182</v>
      </c>
      <c r="AZ354">
        <v>266</v>
      </c>
      <c r="BA354" s="21">
        <v>0.156</v>
      </c>
    </row>
    <row r="355" spans="1:53" x14ac:dyDescent="0.25">
      <c r="A355" s="1" t="s">
        <v>161</v>
      </c>
      <c r="B355">
        <v>354</v>
      </c>
      <c r="C355">
        <v>-14.1</v>
      </c>
      <c r="D355">
        <v>196</v>
      </c>
      <c r="E355" t="s">
        <v>5</v>
      </c>
      <c r="F355">
        <v>278</v>
      </c>
      <c r="G355">
        <v>-4.8</v>
      </c>
      <c r="H355">
        <v>334</v>
      </c>
      <c r="I355">
        <v>-7.6</v>
      </c>
      <c r="J355">
        <v>185</v>
      </c>
      <c r="K355">
        <v>0</v>
      </c>
      <c r="L355">
        <v>337</v>
      </c>
      <c r="M355">
        <v>12.2</v>
      </c>
      <c r="N355">
        <v>362</v>
      </c>
      <c r="O355">
        <v>0.59699999999999998</v>
      </c>
      <c r="P355">
        <v>315</v>
      </c>
      <c r="Q355">
        <v>1.377</v>
      </c>
      <c r="R355">
        <v>326</v>
      </c>
      <c r="S355">
        <v>0.25</v>
      </c>
      <c r="T355">
        <v>356</v>
      </c>
      <c r="U355">
        <v>0.90100000000000002</v>
      </c>
      <c r="V355">
        <v>222</v>
      </c>
      <c r="W355">
        <v>0.96399999999999997</v>
      </c>
      <c r="X355">
        <v>360</v>
      </c>
      <c r="Y355">
        <v>0.88600000000000001</v>
      </c>
      <c r="Z355">
        <v>342</v>
      </c>
      <c r="AA355">
        <v>1.1180000000000001</v>
      </c>
      <c r="AB355">
        <v>359</v>
      </c>
      <c r="AC355" s="21">
        <v>0.442</v>
      </c>
      <c r="AD355" s="21">
        <v>0.41699999999999998</v>
      </c>
      <c r="AE355">
        <v>363</v>
      </c>
      <c r="AF355">
        <v>325</v>
      </c>
      <c r="AG355" s="21">
        <v>0.54300000000000004</v>
      </c>
      <c r="AH355">
        <v>77</v>
      </c>
      <c r="AI355">
        <v>21.834</v>
      </c>
      <c r="AJ355">
        <v>228</v>
      </c>
      <c r="AK355" s="21">
        <v>0.254</v>
      </c>
      <c r="AL355">
        <v>350</v>
      </c>
      <c r="AM355" s="21">
        <v>0.23599999999999999</v>
      </c>
      <c r="AN355">
        <v>363</v>
      </c>
      <c r="AO355" s="21">
        <v>0.27</v>
      </c>
      <c r="AP355">
        <v>249</v>
      </c>
      <c r="AQ355" s="21">
        <v>0.34899999999999998</v>
      </c>
      <c r="AR355">
        <v>293</v>
      </c>
      <c r="AS355" s="21">
        <v>0.23899999999999999</v>
      </c>
      <c r="AT355">
        <v>203</v>
      </c>
      <c r="AU355" s="21">
        <v>0.71899999999999997</v>
      </c>
      <c r="AV355">
        <v>176</v>
      </c>
      <c r="AW355">
        <v>70.400000000000006</v>
      </c>
      <c r="AX355">
        <v>355</v>
      </c>
      <c r="AY355" s="21">
        <v>0.20799999999999999</v>
      </c>
      <c r="AZ355">
        <v>254</v>
      </c>
      <c r="BA355" s="21">
        <v>0.157</v>
      </c>
    </row>
    <row r="356" spans="1:53" x14ac:dyDescent="0.25">
      <c r="A356" s="1" t="s">
        <v>607</v>
      </c>
      <c r="B356">
        <v>355</v>
      </c>
      <c r="C356">
        <v>-14.2</v>
      </c>
      <c r="D356">
        <v>343</v>
      </c>
      <c r="E356">
        <v>-17.2</v>
      </c>
      <c r="F356">
        <v>329</v>
      </c>
      <c r="G356">
        <v>-6.9</v>
      </c>
      <c r="H356">
        <v>340</v>
      </c>
      <c r="I356">
        <v>-8.1</v>
      </c>
      <c r="J356">
        <v>170</v>
      </c>
      <c r="K356">
        <v>0.2</v>
      </c>
      <c r="L356">
        <v>55</v>
      </c>
      <c r="M356">
        <v>9</v>
      </c>
      <c r="N356">
        <v>337</v>
      </c>
      <c r="O356">
        <v>0.84399999999999997</v>
      </c>
      <c r="P356">
        <v>291</v>
      </c>
      <c r="Q356">
        <v>1.2949999999999999</v>
      </c>
      <c r="R356">
        <v>264</v>
      </c>
      <c r="S356">
        <v>0.375</v>
      </c>
      <c r="T356">
        <v>318</v>
      </c>
      <c r="U356">
        <v>0.92500000000000004</v>
      </c>
      <c r="V356">
        <v>242</v>
      </c>
      <c r="W356">
        <v>0.96599999999999997</v>
      </c>
      <c r="X356">
        <v>353</v>
      </c>
      <c r="Y356">
        <v>0.92200000000000004</v>
      </c>
      <c r="Z356">
        <v>318</v>
      </c>
      <c r="AA356">
        <v>1.097</v>
      </c>
      <c r="AB356">
        <v>325</v>
      </c>
      <c r="AC356" s="21">
        <v>0.47099999999999997</v>
      </c>
      <c r="AD356" s="21">
        <v>0.46700000000000003</v>
      </c>
      <c r="AE356">
        <v>300</v>
      </c>
      <c r="AF356">
        <v>329</v>
      </c>
      <c r="AG356" s="21">
        <v>0.54400000000000004</v>
      </c>
      <c r="AH356">
        <v>356</v>
      </c>
      <c r="AI356">
        <v>14.249000000000001</v>
      </c>
      <c r="AJ356">
        <v>175</v>
      </c>
      <c r="AK356" s="21">
        <v>0.24299999999999999</v>
      </c>
      <c r="AL356">
        <v>87</v>
      </c>
      <c r="AM356" s="21">
        <v>0.34799999999999998</v>
      </c>
      <c r="AN356">
        <v>279</v>
      </c>
      <c r="AO356" s="21">
        <v>0.317</v>
      </c>
      <c r="AP356">
        <v>203</v>
      </c>
      <c r="AQ356" s="21">
        <v>0.34100000000000003</v>
      </c>
      <c r="AR356">
        <v>303</v>
      </c>
      <c r="AS356" s="21">
        <v>0.23499999999999999</v>
      </c>
      <c r="AT356">
        <v>282</v>
      </c>
      <c r="AU356" s="21">
        <v>0.7</v>
      </c>
      <c r="AV356">
        <v>170</v>
      </c>
      <c r="AW356">
        <v>70.400000000000006</v>
      </c>
      <c r="AX356">
        <v>294</v>
      </c>
      <c r="AY356" s="21">
        <v>0.185</v>
      </c>
      <c r="AZ356">
        <v>200</v>
      </c>
      <c r="BA356" s="21">
        <v>0.16400000000000001</v>
      </c>
    </row>
    <row r="357" spans="1:53" x14ac:dyDescent="0.25">
      <c r="A357" s="1" t="s">
        <v>243</v>
      </c>
      <c r="B357">
        <v>356</v>
      </c>
      <c r="C357">
        <v>-14.6</v>
      </c>
      <c r="D357">
        <v>359</v>
      </c>
      <c r="E357">
        <v>-21.9</v>
      </c>
      <c r="F357">
        <v>280</v>
      </c>
      <c r="G357">
        <v>-5</v>
      </c>
      <c r="H357">
        <v>162</v>
      </c>
      <c r="I357">
        <v>-1.7</v>
      </c>
      <c r="J357">
        <v>333</v>
      </c>
      <c r="K357">
        <v>-2.6</v>
      </c>
      <c r="L357">
        <v>277</v>
      </c>
      <c r="M357">
        <v>11.1</v>
      </c>
      <c r="N357">
        <v>311</v>
      </c>
      <c r="O357">
        <v>0.91600000000000004</v>
      </c>
      <c r="P357">
        <v>346</v>
      </c>
      <c r="Q357">
        <v>1.534</v>
      </c>
      <c r="R357">
        <v>326</v>
      </c>
      <c r="S357">
        <v>0.25</v>
      </c>
      <c r="T357">
        <v>362</v>
      </c>
      <c r="U357">
        <v>0.88200000000000001</v>
      </c>
      <c r="V357">
        <v>296</v>
      </c>
      <c r="W357">
        <v>0.97599999999999998</v>
      </c>
      <c r="X357">
        <v>327</v>
      </c>
      <c r="Y357">
        <v>0.95899999999999996</v>
      </c>
      <c r="Z357">
        <v>360</v>
      </c>
      <c r="AA357">
        <v>1.163</v>
      </c>
      <c r="AB357">
        <v>150</v>
      </c>
      <c r="AC357" s="21">
        <v>0.51200000000000001</v>
      </c>
      <c r="AD357" s="21">
        <v>0.503</v>
      </c>
      <c r="AE357">
        <v>134</v>
      </c>
      <c r="AF357">
        <v>360</v>
      </c>
      <c r="AG357" s="21">
        <v>0.56899999999999995</v>
      </c>
      <c r="AH357">
        <v>357</v>
      </c>
      <c r="AI357">
        <v>14.131</v>
      </c>
      <c r="AJ357">
        <v>140</v>
      </c>
      <c r="AK357" s="21">
        <v>0.23300000000000001</v>
      </c>
      <c r="AL357">
        <v>42</v>
      </c>
      <c r="AM357" s="21">
        <v>0.379</v>
      </c>
      <c r="AN357">
        <v>45</v>
      </c>
      <c r="AO357" s="21">
        <v>0.36699999999999999</v>
      </c>
      <c r="AP357">
        <v>320</v>
      </c>
      <c r="AQ357" s="21">
        <v>0.36199999999999999</v>
      </c>
      <c r="AR357">
        <v>363</v>
      </c>
      <c r="AS357" s="21">
        <v>0.14799999999999999</v>
      </c>
      <c r="AT357">
        <v>353</v>
      </c>
      <c r="AU357" s="21">
        <v>0.66700000000000004</v>
      </c>
      <c r="AV357">
        <v>310</v>
      </c>
      <c r="AW357">
        <v>67.599999999999994</v>
      </c>
      <c r="AX357">
        <v>279</v>
      </c>
      <c r="AY357" s="21">
        <v>0.18099999999999999</v>
      </c>
      <c r="AZ357">
        <v>228</v>
      </c>
      <c r="BA357" s="21">
        <v>0.161</v>
      </c>
    </row>
    <row r="358" spans="1:53" x14ac:dyDescent="0.25">
      <c r="A358" s="1" t="s">
        <v>608</v>
      </c>
      <c r="B358">
        <v>357</v>
      </c>
      <c r="C358">
        <v>-15.3</v>
      </c>
      <c r="D358">
        <v>352</v>
      </c>
      <c r="E358">
        <v>-19.8</v>
      </c>
      <c r="F358">
        <v>358</v>
      </c>
      <c r="G358">
        <v>-9.1</v>
      </c>
      <c r="H358">
        <v>363</v>
      </c>
      <c r="I358">
        <v>-15.6</v>
      </c>
      <c r="J358">
        <v>354</v>
      </c>
      <c r="K358">
        <v>-3.3</v>
      </c>
      <c r="L358">
        <v>289</v>
      </c>
      <c r="M358">
        <v>11.3</v>
      </c>
      <c r="N358">
        <v>321</v>
      </c>
      <c r="O358">
        <v>0.89600000000000002</v>
      </c>
      <c r="P358">
        <v>335</v>
      </c>
      <c r="Q358">
        <v>1.464</v>
      </c>
      <c r="R358">
        <v>355</v>
      </c>
      <c r="S358">
        <v>0</v>
      </c>
      <c r="T358">
        <v>289</v>
      </c>
      <c r="U358">
        <v>0.93100000000000005</v>
      </c>
      <c r="V358">
        <v>341</v>
      </c>
      <c r="W358">
        <v>0.99299999999999999</v>
      </c>
      <c r="X358">
        <v>348</v>
      </c>
      <c r="Y358">
        <v>0.92900000000000005</v>
      </c>
      <c r="Z358">
        <v>348</v>
      </c>
      <c r="AA358">
        <v>1.1339999999999999</v>
      </c>
      <c r="AB358">
        <v>329</v>
      </c>
      <c r="AC358" s="21">
        <v>0.46899999999999997</v>
      </c>
      <c r="AD358" s="21">
        <v>0.45400000000000001</v>
      </c>
      <c r="AE358">
        <v>339</v>
      </c>
      <c r="AF358">
        <v>332</v>
      </c>
      <c r="AG358" s="21">
        <v>0.54500000000000004</v>
      </c>
      <c r="AH358">
        <v>315</v>
      </c>
      <c r="AI358">
        <v>16.623999999999999</v>
      </c>
      <c r="AJ358">
        <v>189</v>
      </c>
      <c r="AK358" s="21">
        <v>0.24399999999999999</v>
      </c>
      <c r="AL358">
        <v>93</v>
      </c>
      <c r="AM358" s="21">
        <v>0.34599999999999997</v>
      </c>
      <c r="AN358">
        <v>353</v>
      </c>
      <c r="AO358" s="21">
        <v>0.29199999999999998</v>
      </c>
      <c r="AP358">
        <v>237</v>
      </c>
      <c r="AQ358" s="21">
        <v>0.34699999999999998</v>
      </c>
      <c r="AR358">
        <v>250</v>
      </c>
      <c r="AS358" s="21">
        <v>0.252</v>
      </c>
      <c r="AT358">
        <v>331</v>
      </c>
      <c r="AU358" s="21">
        <v>0.68300000000000005</v>
      </c>
      <c r="AV358">
        <v>294</v>
      </c>
      <c r="AW358">
        <v>67.8</v>
      </c>
      <c r="AX358">
        <v>320</v>
      </c>
      <c r="AY358" s="21">
        <v>0.191</v>
      </c>
      <c r="AZ358">
        <v>305</v>
      </c>
      <c r="BA358" s="21">
        <v>0.14899999999999999</v>
      </c>
    </row>
    <row r="359" spans="1:53" x14ac:dyDescent="0.25">
      <c r="A359" s="1" t="s">
        <v>609</v>
      </c>
      <c r="B359">
        <v>358</v>
      </c>
      <c r="C359">
        <v>-15.4</v>
      </c>
      <c r="D359">
        <v>362</v>
      </c>
      <c r="E359">
        <v>-25.9</v>
      </c>
      <c r="F359">
        <v>362</v>
      </c>
      <c r="G359">
        <v>-11.4</v>
      </c>
      <c r="H359">
        <v>359</v>
      </c>
      <c r="I359">
        <v>-10.6</v>
      </c>
      <c r="J359">
        <v>267</v>
      </c>
      <c r="K359">
        <v>-1.2</v>
      </c>
      <c r="L359">
        <v>191</v>
      </c>
      <c r="M359">
        <v>10.4</v>
      </c>
      <c r="N359">
        <v>355</v>
      </c>
      <c r="O359">
        <v>0.77</v>
      </c>
      <c r="P359">
        <v>98</v>
      </c>
      <c r="Q359">
        <v>1</v>
      </c>
      <c r="R359">
        <v>355</v>
      </c>
      <c r="S359">
        <v>0</v>
      </c>
      <c r="T359">
        <v>262</v>
      </c>
      <c r="U359">
        <v>0.93799999999999994</v>
      </c>
      <c r="V359">
        <v>40</v>
      </c>
      <c r="W359">
        <v>0.92500000000000004</v>
      </c>
      <c r="X359">
        <v>351</v>
      </c>
      <c r="Y359">
        <v>0.92300000000000004</v>
      </c>
      <c r="Z359">
        <v>253</v>
      </c>
      <c r="AA359">
        <v>1.0649999999999999</v>
      </c>
      <c r="AB359">
        <v>353</v>
      </c>
      <c r="AC359" s="21">
        <v>0.45100000000000001</v>
      </c>
      <c r="AD359" s="21">
        <v>0.439</v>
      </c>
      <c r="AE359">
        <v>351</v>
      </c>
      <c r="AF359">
        <v>327</v>
      </c>
      <c r="AG359" s="21">
        <v>0.54300000000000004</v>
      </c>
      <c r="AH359">
        <v>137</v>
      </c>
      <c r="AI359">
        <v>20.491</v>
      </c>
      <c r="AJ359">
        <v>359</v>
      </c>
      <c r="AK359" s="21">
        <v>0.311</v>
      </c>
      <c r="AL359">
        <v>127</v>
      </c>
      <c r="AM359" s="21">
        <v>0.33100000000000002</v>
      </c>
      <c r="AN359">
        <v>326</v>
      </c>
      <c r="AO359" s="21">
        <v>0.308</v>
      </c>
      <c r="AP359">
        <v>362</v>
      </c>
      <c r="AQ359" s="21">
        <v>0.39</v>
      </c>
      <c r="AR359">
        <v>74</v>
      </c>
      <c r="AS359" s="21">
        <v>0.318</v>
      </c>
      <c r="AT359">
        <v>346</v>
      </c>
      <c r="AU359" s="21">
        <v>0.67400000000000004</v>
      </c>
      <c r="AV359">
        <v>9</v>
      </c>
      <c r="AW359">
        <v>75.099999999999994</v>
      </c>
      <c r="AX359">
        <v>360</v>
      </c>
      <c r="AY359" s="21">
        <v>0.214</v>
      </c>
      <c r="AZ359">
        <v>23</v>
      </c>
      <c r="BA359" s="21">
        <v>0.20399999999999999</v>
      </c>
    </row>
    <row r="360" spans="1:53" x14ac:dyDescent="0.25">
      <c r="A360" s="1" t="s">
        <v>185</v>
      </c>
      <c r="B360">
        <v>359</v>
      </c>
      <c r="C360">
        <v>-15.5</v>
      </c>
      <c r="D360">
        <v>351</v>
      </c>
      <c r="E360">
        <v>-19.100000000000001</v>
      </c>
      <c r="F360">
        <v>355</v>
      </c>
      <c r="G360">
        <v>-8.8000000000000007</v>
      </c>
      <c r="H360">
        <v>189</v>
      </c>
      <c r="I360">
        <v>-2.6</v>
      </c>
      <c r="J360">
        <v>355</v>
      </c>
      <c r="K360">
        <v>-3.4</v>
      </c>
      <c r="L360">
        <v>182</v>
      </c>
      <c r="M360">
        <v>10.3</v>
      </c>
      <c r="N360">
        <v>259</v>
      </c>
      <c r="O360">
        <v>1.0029999999999999</v>
      </c>
      <c r="P360">
        <v>148</v>
      </c>
      <c r="Q360">
        <v>1.077</v>
      </c>
      <c r="R360">
        <v>355</v>
      </c>
      <c r="S360">
        <v>0</v>
      </c>
      <c r="T360">
        <v>266</v>
      </c>
      <c r="U360">
        <v>0.93700000000000006</v>
      </c>
      <c r="V360">
        <v>162</v>
      </c>
      <c r="W360">
        <v>0.95399999999999996</v>
      </c>
      <c r="X360">
        <v>319</v>
      </c>
      <c r="Y360">
        <v>0.96399999999999997</v>
      </c>
      <c r="Z360">
        <v>345</v>
      </c>
      <c r="AA360">
        <v>1.129</v>
      </c>
      <c r="AB360">
        <v>298</v>
      </c>
      <c r="AC360" s="21">
        <v>0.48199999999999998</v>
      </c>
      <c r="AD360" s="21">
        <v>0.46600000000000003</v>
      </c>
      <c r="AE360">
        <v>303</v>
      </c>
      <c r="AF360">
        <v>354</v>
      </c>
      <c r="AG360" s="21">
        <v>0.56200000000000006</v>
      </c>
      <c r="AH360">
        <v>228</v>
      </c>
      <c r="AI360">
        <v>18.786999999999999</v>
      </c>
      <c r="AJ360">
        <v>323</v>
      </c>
      <c r="AK360" s="21">
        <v>0.28199999999999997</v>
      </c>
      <c r="AL360">
        <v>311</v>
      </c>
      <c r="AM360" s="21">
        <v>0.26600000000000001</v>
      </c>
      <c r="AN360">
        <v>291</v>
      </c>
      <c r="AO360" s="21">
        <v>0.315</v>
      </c>
      <c r="AP360">
        <v>293</v>
      </c>
      <c r="AQ360" s="21">
        <v>0.35699999999999998</v>
      </c>
      <c r="AR360">
        <v>330</v>
      </c>
      <c r="AS360" s="21">
        <v>0.218</v>
      </c>
      <c r="AT360">
        <v>364</v>
      </c>
      <c r="AU360" s="21">
        <v>0.62</v>
      </c>
      <c r="AV360">
        <v>50</v>
      </c>
      <c r="AW360">
        <v>72.8</v>
      </c>
      <c r="AX360">
        <v>153</v>
      </c>
      <c r="AY360" s="21">
        <v>0.16300000000000001</v>
      </c>
      <c r="AZ360">
        <v>44</v>
      </c>
      <c r="BA360" s="21">
        <v>0.19600000000000001</v>
      </c>
    </row>
    <row r="361" spans="1:53" x14ac:dyDescent="0.25">
      <c r="A361" s="1" t="s">
        <v>238</v>
      </c>
      <c r="B361">
        <v>360</v>
      </c>
      <c r="C361">
        <v>-15.7</v>
      </c>
      <c r="D361">
        <v>293</v>
      </c>
      <c r="E361">
        <v>-7.7</v>
      </c>
      <c r="F361">
        <v>360</v>
      </c>
      <c r="G361">
        <v>-9.4</v>
      </c>
      <c r="H361">
        <v>358</v>
      </c>
      <c r="I361">
        <v>-10.3</v>
      </c>
      <c r="J361">
        <v>331</v>
      </c>
      <c r="K361">
        <v>-2.5</v>
      </c>
      <c r="L361">
        <v>285</v>
      </c>
      <c r="M361">
        <v>11.2</v>
      </c>
      <c r="N361">
        <v>356</v>
      </c>
      <c r="O361">
        <v>0.76300000000000001</v>
      </c>
      <c r="P361">
        <v>345</v>
      </c>
      <c r="Q361">
        <v>1.528</v>
      </c>
      <c r="R361">
        <v>355</v>
      </c>
      <c r="S361">
        <v>0</v>
      </c>
      <c r="T361">
        <v>310</v>
      </c>
      <c r="U361">
        <v>0.92900000000000005</v>
      </c>
      <c r="V361">
        <v>331</v>
      </c>
      <c r="W361">
        <v>0.98899999999999999</v>
      </c>
      <c r="X361">
        <v>356</v>
      </c>
      <c r="Y361">
        <v>0.91800000000000004</v>
      </c>
      <c r="Z361">
        <v>357</v>
      </c>
      <c r="AA361">
        <v>1.153</v>
      </c>
      <c r="AB361">
        <v>348</v>
      </c>
      <c r="AC361" s="21">
        <v>0.45700000000000002</v>
      </c>
      <c r="AD361" s="21">
        <v>0.44700000000000001</v>
      </c>
      <c r="AE361">
        <v>343</v>
      </c>
      <c r="AF361">
        <v>348</v>
      </c>
      <c r="AG361" s="21">
        <v>0.55300000000000005</v>
      </c>
      <c r="AH361">
        <v>212</v>
      </c>
      <c r="AI361">
        <v>18.96</v>
      </c>
      <c r="AJ361">
        <v>346</v>
      </c>
      <c r="AK361" s="21">
        <v>0.29399999999999998</v>
      </c>
      <c r="AL361">
        <v>203</v>
      </c>
      <c r="AM361" s="21">
        <v>0.30499999999999999</v>
      </c>
      <c r="AN361">
        <v>292</v>
      </c>
      <c r="AO361" s="21">
        <v>0.315</v>
      </c>
      <c r="AP361">
        <v>147</v>
      </c>
      <c r="AQ361" s="21">
        <v>0.33300000000000002</v>
      </c>
      <c r="AR361">
        <v>255</v>
      </c>
      <c r="AS361" s="21">
        <v>0.251</v>
      </c>
      <c r="AT361">
        <v>343</v>
      </c>
      <c r="AU361" s="21">
        <v>0.67400000000000004</v>
      </c>
      <c r="AV361">
        <v>238</v>
      </c>
      <c r="AW361">
        <v>69</v>
      </c>
      <c r="AX361">
        <v>326</v>
      </c>
      <c r="AY361" s="21">
        <v>0.193</v>
      </c>
      <c r="AZ361">
        <v>291</v>
      </c>
      <c r="BA361" s="21">
        <v>0.151</v>
      </c>
    </row>
    <row r="362" spans="1:53" x14ac:dyDescent="0.25">
      <c r="A362" s="1" t="s">
        <v>239</v>
      </c>
      <c r="B362">
        <v>361</v>
      </c>
      <c r="C362">
        <v>-16.5</v>
      </c>
      <c r="D362">
        <v>333</v>
      </c>
      <c r="E362">
        <v>-14.5</v>
      </c>
      <c r="F362">
        <v>303</v>
      </c>
      <c r="G362">
        <v>-6</v>
      </c>
      <c r="H362">
        <v>86</v>
      </c>
      <c r="I362">
        <v>1.4</v>
      </c>
      <c r="J362">
        <v>258</v>
      </c>
      <c r="K362">
        <v>-1</v>
      </c>
      <c r="L362">
        <v>280</v>
      </c>
      <c r="M362">
        <v>11.2</v>
      </c>
      <c r="N362">
        <v>340</v>
      </c>
      <c r="O362">
        <v>0.83499999999999996</v>
      </c>
      <c r="P362">
        <v>270</v>
      </c>
      <c r="Q362">
        <v>1.2569999999999999</v>
      </c>
      <c r="R362">
        <v>355</v>
      </c>
      <c r="S362">
        <v>0</v>
      </c>
      <c r="T362">
        <v>333</v>
      </c>
      <c r="U362">
        <v>0.91700000000000004</v>
      </c>
      <c r="V362">
        <v>171</v>
      </c>
      <c r="W362">
        <v>0.95499999999999996</v>
      </c>
      <c r="X362">
        <v>361</v>
      </c>
      <c r="Y362">
        <v>0.878</v>
      </c>
      <c r="Z362">
        <v>333</v>
      </c>
      <c r="AA362">
        <v>1.105</v>
      </c>
      <c r="AB362">
        <v>358</v>
      </c>
      <c r="AC362" s="21">
        <v>0.44400000000000001</v>
      </c>
      <c r="AD362" s="21">
        <v>0.436</v>
      </c>
      <c r="AE362">
        <v>355</v>
      </c>
      <c r="AF362">
        <v>342</v>
      </c>
      <c r="AG362" s="21">
        <v>0.54900000000000004</v>
      </c>
      <c r="AH362">
        <v>343</v>
      </c>
      <c r="AI362">
        <v>15.407</v>
      </c>
      <c r="AJ362">
        <v>279</v>
      </c>
      <c r="AK362" s="21">
        <v>0.26400000000000001</v>
      </c>
      <c r="AL362">
        <v>89</v>
      </c>
      <c r="AM362" s="21">
        <v>0.34799999999999998</v>
      </c>
      <c r="AN362">
        <v>331</v>
      </c>
      <c r="AO362" s="21">
        <v>0.30599999999999999</v>
      </c>
      <c r="AP362">
        <v>298</v>
      </c>
      <c r="AQ362" s="21">
        <v>0.35799999999999998</v>
      </c>
      <c r="AR362">
        <v>346</v>
      </c>
      <c r="AS362" s="21">
        <v>0.19900000000000001</v>
      </c>
      <c r="AT362">
        <v>320</v>
      </c>
      <c r="AU362" s="21">
        <v>0.68799999999999994</v>
      </c>
      <c r="AV362">
        <v>126</v>
      </c>
      <c r="AW362">
        <v>71.2</v>
      </c>
      <c r="AX362">
        <v>276</v>
      </c>
      <c r="AY362" s="21">
        <v>0.18099999999999999</v>
      </c>
      <c r="AZ362">
        <v>110</v>
      </c>
      <c r="BA362" s="21">
        <v>0.17699999999999999</v>
      </c>
    </row>
    <row r="363" spans="1:53" x14ac:dyDescent="0.25">
      <c r="A363" s="1" t="s">
        <v>462</v>
      </c>
      <c r="B363">
        <v>362</v>
      </c>
      <c r="C363">
        <v>-17.100000000000001</v>
      </c>
      <c r="D363">
        <v>285</v>
      </c>
      <c r="E363">
        <v>-6.5</v>
      </c>
      <c r="F363">
        <v>336</v>
      </c>
      <c r="G363">
        <v>-7.3</v>
      </c>
      <c r="H363">
        <v>302</v>
      </c>
      <c r="I363">
        <v>-6</v>
      </c>
      <c r="J363">
        <v>138</v>
      </c>
      <c r="K363">
        <v>0.7</v>
      </c>
      <c r="L363">
        <v>190</v>
      </c>
      <c r="M363">
        <v>10.4</v>
      </c>
      <c r="N363">
        <v>360</v>
      </c>
      <c r="O363">
        <v>0.72299999999999998</v>
      </c>
      <c r="P363">
        <v>165</v>
      </c>
      <c r="Q363">
        <v>1.1020000000000001</v>
      </c>
      <c r="R363">
        <v>158</v>
      </c>
      <c r="S363">
        <v>0.5</v>
      </c>
      <c r="T363">
        <v>358</v>
      </c>
      <c r="U363">
        <v>0.89600000000000002</v>
      </c>
      <c r="V363">
        <v>62</v>
      </c>
      <c r="W363">
        <v>0.93300000000000005</v>
      </c>
      <c r="X363">
        <v>363</v>
      </c>
      <c r="Y363">
        <v>0.86599999999999999</v>
      </c>
      <c r="Z363">
        <v>299</v>
      </c>
      <c r="AA363">
        <v>1.0860000000000001</v>
      </c>
      <c r="AB363">
        <v>362</v>
      </c>
      <c r="AC363" s="21">
        <v>0.44</v>
      </c>
      <c r="AD363" s="21">
        <v>0.433</v>
      </c>
      <c r="AE363">
        <v>359</v>
      </c>
      <c r="AF363">
        <v>349</v>
      </c>
      <c r="AG363" s="21">
        <v>0.55600000000000005</v>
      </c>
      <c r="AH363">
        <v>210</v>
      </c>
      <c r="AI363">
        <v>18.994</v>
      </c>
      <c r="AJ363">
        <v>249</v>
      </c>
      <c r="AK363" s="21">
        <v>0.25800000000000001</v>
      </c>
      <c r="AL363">
        <v>336</v>
      </c>
      <c r="AM363" s="21">
        <v>0.248</v>
      </c>
      <c r="AN363">
        <v>354</v>
      </c>
      <c r="AO363" s="21">
        <v>0.28999999999999998</v>
      </c>
      <c r="AP363">
        <v>325</v>
      </c>
      <c r="AQ363" s="21">
        <v>0.36299999999999999</v>
      </c>
      <c r="AR363">
        <v>311</v>
      </c>
      <c r="AS363" s="21">
        <v>0.23200000000000001</v>
      </c>
      <c r="AT363">
        <v>351</v>
      </c>
      <c r="AU363" s="21">
        <v>0.66900000000000004</v>
      </c>
      <c r="AV363">
        <v>147</v>
      </c>
      <c r="AW363">
        <v>70.8</v>
      </c>
      <c r="AX363">
        <v>358</v>
      </c>
      <c r="AY363" s="21">
        <v>0.21099999999999999</v>
      </c>
      <c r="AZ363">
        <v>31</v>
      </c>
      <c r="BA363" s="21">
        <v>0.20100000000000001</v>
      </c>
    </row>
    <row r="364" spans="1:53" x14ac:dyDescent="0.25">
      <c r="A364" s="1" t="s">
        <v>610</v>
      </c>
      <c r="B364">
        <v>363</v>
      </c>
      <c r="C364">
        <v>-19.100000000000001</v>
      </c>
      <c r="D364">
        <v>197</v>
      </c>
      <c r="E364" t="s">
        <v>5</v>
      </c>
      <c r="F364">
        <v>363</v>
      </c>
      <c r="G364">
        <v>-12</v>
      </c>
      <c r="H364">
        <v>361</v>
      </c>
      <c r="I364">
        <v>-10.8</v>
      </c>
      <c r="J364">
        <v>295</v>
      </c>
      <c r="K364">
        <v>-1.7</v>
      </c>
      <c r="L364">
        <v>286</v>
      </c>
      <c r="M364">
        <v>11.2</v>
      </c>
      <c r="N364">
        <v>313</v>
      </c>
      <c r="O364">
        <v>0.90900000000000003</v>
      </c>
      <c r="P364">
        <v>330</v>
      </c>
      <c r="Q364">
        <v>1.4319999999999999</v>
      </c>
      <c r="R364">
        <v>338</v>
      </c>
      <c r="S364">
        <v>0.2</v>
      </c>
      <c r="T364">
        <v>350</v>
      </c>
      <c r="U364">
        <v>0.90700000000000003</v>
      </c>
      <c r="V364">
        <v>311</v>
      </c>
      <c r="W364">
        <v>0.98099999999999998</v>
      </c>
      <c r="X364">
        <v>340</v>
      </c>
      <c r="Y364">
        <v>0.94199999999999995</v>
      </c>
      <c r="Z364">
        <v>358</v>
      </c>
      <c r="AA364">
        <v>1.157</v>
      </c>
      <c r="AB364">
        <v>207</v>
      </c>
      <c r="AC364" s="21">
        <v>0.503</v>
      </c>
      <c r="AD364" s="21">
        <v>0.503</v>
      </c>
      <c r="AE364">
        <v>134</v>
      </c>
      <c r="AF364">
        <v>355</v>
      </c>
      <c r="AG364" s="21">
        <v>0.56299999999999994</v>
      </c>
      <c r="AH364">
        <v>345</v>
      </c>
      <c r="AI364">
        <v>15.23</v>
      </c>
      <c r="AJ364">
        <v>339</v>
      </c>
      <c r="AK364" s="21">
        <v>0.28999999999999998</v>
      </c>
      <c r="AL364">
        <v>236</v>
      </c>
      <c r="AM364" s="21">
        <v>0.29399999999999998</v>
      </c>
      <c r="AN364">
        <v>322</v>
      </c>
      <c r="AO364" s="21">
        <v>0.31</v>
      </c>
      <c r="AP364">
        <v>296</v>
      </c>
      <c r="AQ364" s="21">
        <v>0.35699999999999998</v>
      </c>
      <c r="AR364">
        <v>283</v>
      </c>
      <c r="AS364" s="21">
        <v>0.24099999999999999</v>
      </c>
      <c r="AT364">
        <v>357</v>
      </c>
      <c r="AU364" s="21">
        <v>0.66100000000000003</v>
      </c>
      <c r="AV364">
        <v>22</v>
      </c>
      <c r="AW364">
        <v>74</v>
      </c>
      <c r="AX364">
        <v>341</v>
      </c>
      <c r="AY364" s="21">
        <v>0.2</v>
      </c>
      <c r="AZ364">
        <v>191</v>
      </c>
      <c r="BA364" s="21">
        <v>0.16500000000000001</v>
      </c>
    </row>
    <row r="365" spans="1:53" x14ac:dyDescent="0.25">
      <c r="A365" s="1" t="s">
        <v>611</v>
      </c>
      <c r="B365">
        <v>364</v>
      </c>
      <c r="C365">
        <v>-29.2</v>
      </c>
      <c r="D365">
        <v>198</v>
      </c>
      <c r="E365" t="s">
        <v>5</v>
      </c>
      <c r="F365">
        <v>364</v>
      </c>
      <c r="G365">
        <v>-15.4</v>
      </c>
      <c r="H365">
        <v>364</v>
      </c>
      <c r="I365">
        <v>-17.7</v>
      </c>
      <c r="J365">
        <v>176</v>
      </c>
      <c r="K365">
        <v>0.1</v>
      </c>
      <c r="L365">
        <v>340</v>
      </c>
      <c r="M365">
        <v>12.2</v>
      </c>
      <c r="N365">
        <v>364</v>
      </c>
      <c r="O365">
        <v>0.49099999999999999</v>
      </c>
      <c r="P365">
        <v>350</v>
      </c>
      <c r="Q365">
        <v>1.5660000000000001</v>
      </c>
      <c r="R365">
        <v>158</v>
      </c>
      <c r="S365">
        <v>0.5</v>
      </c>
      <c r="T365">
        <v>364</v>
      </c>
      <c r="U365">
        <v>0.85</v>
      </c>
      <c r="V365">
        <v>357</v>
      </c>
      <c r="W365">
        <v>1.0089999999999999</v>
      </c>
      <c r="X365">
        <v>364</v>
      </c>
      <c r="Y365">
        <v>0.77400000000000002</v>
      </c>
      <c r="Z365">
        <v>364</v>
      </c>
      <c r="AA365">
        <v>1.214</v>
      </c>
      <c r="AB365">
        <v>364</v>
      </c>
      <c r="AC365" s="21">
        <v>0.42099999999999999</v>
      </c>
      <c r="AD365" s="21">
        <v>0.39600000000000002</v>
      </c>
      <c r="AE365">
        <v>364</v>
      </c>
      <c r="AF365">
        <v>363</v>
      </c>
      <c r="AG365" s="21">
        <v>0.57899999999999996</v>
      </c>
      <c r="AH365">
        <v>347</v>
      </c>
      <c r="AI365">
        <v>15.013</v>
      </c>
      <c r="AJ365">
        <v>328</v>
      </c>
      <c r="AK365" s="21">
        <v>0.28399999999999997</v>
      </c>
      <c r="AL365">
        <v>329</v>
      </c>
      <c r="AM365" s="21">
        <v>0.252</v>
      </c>
      <c r="AN365">
        <v>356</v>
      </c>
      <c r="AO365" s="21">
        <v>0.28799999999999998</v>
      </c>
      <c r="AP365">
        <v>351</v>
      </c>
      <c r="AQ365" s="21">
        <v>0.377</v>
      </c>
      <c r="AR365">
        <v>347</v>
      </c>
      <c r="AS365" s="21">
        <v>0.19900000000000001</v>
      </c>
      <c r="AT365">
        <v>362</v>
      </c>
      <c r="AU365" s="21">
        <v>0.628</v>
      </c>
      <c r="AV365">
        <v>295</v>
      </c>
      <c r="AW365">
        <v>67.8</v>
      </c>
      <c r="AX365">
        <v>363</v>
      </c>
      <c r="AY365" s="21">
        <v>0.23699999999999999</v>
      </c>
      <c r="AZ365">
        <v>317</v>
      </c>
      <c r="BA365" s="21">
        <v>0.14699999999999999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8C63-0557-46AC-9DF5-56F7F23B32C2}">
  <dimension ref="A1:E102"/>
  <sheetViews>
    <sheetView workbookViewId="0"/>
  </sheetViews>
  <sheetFormatPr defaultRowHeight="15" x14ac:dyDescent="0.25"/>
  <cols>
    <col min="1" max="1" width="5" bestFit="1" customWidth="1"/>
    <col min="2" max="2" width="19.5703125" bestFit="1" customWidth="1"/>
    <col min="3" max="3" width="26.5703125" bestFit="1" customWidth="1"/>
    <col min="4" max="4" width="7.5703125" bestFit="1" customWidth="1"/>
    <col min="5" max="5" width="7" bestFit="1" customWidth="1"/>
  </cols>
  <sheetData>
    <row r="1" spans="1:5" x14ac:dyDescent="0.25">
      <c r="A1" s="1" t="s">
        <v>296</v>
      </c>
    </row>
    <row r="2" spans="1:5" s="1" customFormat="1" x14ac:dyDescent="0.25">
      <c r="A2" s="1" t="s">
        <v>257</v>
      </c>
      <c r="B2" s="1" t="s">
        <v>287</v>
      </c>
      <c r="C2" s="1" t="s">
        <v>256</v>
      </c>
      <c r="D2" s="1" t="s">
        <v>305</v>
      </c>
      <c r="E2" s="1" t="s">
        <v>288</v>
      </c>
    </row>
    <row r="3" spans="1:5" x14ac:dyDescent="0.25">
      <c r="A3">
        <v>1</v>
      </c>
      <c r="B3" t="s">
        <v>283</v>
      </c>
      <c r="C3" t="s">
        <v>3</v>
      </c>
      <c r="D3" t="s">
        <v>265</v>
      </c>
      <c r="E3">
        <v>20.963999999999999</v>
      </c>
    </row>
    <row r="4" spans="1:5" x14ac:dyDescent="0.25">
      <c r="A4">
        <v>2</v>
      </c>
      <c r="B4" t="s">
        <v>264</v>
      </c>
      <c r="C4" t="s">
        <v>46</v>
      </c>
      <c r="D4" t="s">
        <v>265</v>
      </c>
      <c r="E4">
        <v>20.196000000000002</v>
      </c>
    </row>
    <row r="5" spans="1:5" x14ac:dyDescent="0.25">
      <c r="A5">
        <v>3</v>
      </c>
      <c r="B5" t="s">
        <v>268</v>
      </c>
      <c r="C5" t="s">
        <v>87</v>
      </c>
      <c r="D5" t="s">
        <v>262</v>
      </c>
      <c r="E5">
        <v>20.149999999999999</v>
      </c>
    </row>
    <row r="6" spans="1:5" x14ac:dyDescent="0.25">
      <c r="A6">
        <v>4</v>
      </c>
      <c r="B6" t="s">
        <v>306</v>
      </c>
      <c r="C6" t="s">
        <v>153</v>
      </c>
      <c r="D6" t="s">
        <v>266</v>
      </c>
      <c r="E6">
        <v>19.030999999999999</v>
      </c>
    </row>
    <row r="7" spans="1:5" x14ac:dyDescent="0.25">
      <c r="A7">
        <v>5</v>
      </c>
      <c r="B7" t="s">
        <v>307</v>
      </c>
      <c r="C7" t="s">
        <v>219</v>
      </c>
      <c r="D7" t="s">
        <v>262</v>
      </c>
      <c r="E7">
        <v>18.081</v>
      </c>
    </row>
    <row r="8" spans="1:5" x14ac:dyDescent="0.25">
      <c r="A8">
        <v>6</v>
      </c>
      <c r="B8" t="s">
        <v>308</v>
      </c>
      <c r="C8" t="s">
        <v>16</v>
      </c>
      <c r="D8" t="s">
        <v>266</v>
      </c>
      <c r="E8">
        <v>17.297000000000001</v>
      </c>
    </row>
    <row r="9" spans="1:5" x14ac:dyDescent="0.25">
      <c r="A9">
        <v>7</v>
      </c>
      <c r="B9" t="s">
        <v>281</v>
      </c>
      <c r="C9" t="s">
        <v>134</v>
      </c>
      <c r="D9" t="s">
        <v>262</v>
      </c>
      <c r="E9">
        <v>17.279</v>
      </c>
    </row>
    <row r="10" spans="1:5" x14ac:dyDescent="0.25">
      <c r="A10">
        <v>8</v>
      </c>
      <c r="B10" t="s">
        <v>280</v>
      </c>
      <c r="C10" t="s">
        <v>1</v>
      </c>
      <c r="D10" t="s">
        <v>262</v>
      </c>
      <c r="E10">
        <v>17.190999999999999</v>
      </c>
    </row>
    <row r="11" spans="1:5" x14ac:dyDescent="0.25">
      <c r="A11">
        <v>9</v>
      </c>
      <c r="B11" t="s">
        <v>263</v>
      </c>
      <c r="C11" t="s">
        <v>35</v>
      </c>
      <c r="D11" t="s">
        <v>262</v>
      </c>
      <c r="E11">
        <v>17.087</v>
      </c>
    </row>
    <row r="12" spans="1:5" x14ac:dyDescent="0.25">
      <c r="A12">
        <v>10</v>
      </c>
      <c r="B12" t="s">
        <v>272</v>
      </c>
      <c r="C12" t="s">
        <v>384</v>
      </c>
      <c r="D12" t="s">
        <v>266</v>
      </c>
      <c r="E12">
        <v>16.890999999999998</v>
      </c>
    </row>
    <row r="13" spans="1:5" x14ac:dyDescent="0.25">
      <c r="A13">
        <v>11</v>
      </c>
      <c r="B13" t="s">
        <v>274</v>
      </c>
      <c r="C13" t="s">
        <v>24</v>
      </c>
      <c r="D13" t="s">
        <v>266</v>
      </c>
      <c r="E13">
        <v>16.733000000000001</v>
      </c>
    </row>
    <row r="14" spans="1:5" x14ac:dyDescent="0.25">
      <c r="A14">
        <v>12</v>
      </c>
      <c r="B14" t="s">
        <v>309</v>
      </c>
      <c r="C14" t="s">
        <v>110</v>
      </c>
      <c r="D14" t="s">
        <v>266</v>
      </c>
      <c r="E14">
        <v>16.422999999999998</v>
      </c>
    </row>
    <row r="15" spans="1:5" x14ac:dyDescent="0.25">
      <c r="A15">
        <v>13</v>
      </c>
      <c r="B15" t="s">
        <v>273</v>
      </c>
      <c r="C15" t="s">
        <v>51</v>
      </c>
      <c r="D15" t="s">
        <v>266</v>
      </c>
      <c r="E15">
        <v>16.414999999999999</v>
      </c>
    </row>
    <row r="16" spans="1:5" x14ac:dyDescent="0.25">
      <c r="A16">
        <v>14</v>
      </c>
      <c r="B16" t="s">
        <v>310</v>
      </c>
      <c r="C16" t="s">
        <v>27</v>
      </c>
      <c r="D16" t="s">
        <v>262</v>
      </c>
      <c r="E16">
        <v>16.367999999999999</v>
      </c>
    </row>
    <row r="17" spans="1:5" x14ac:dyDescent="0.25">
      <c r="A17">
        <v>15</v>
      </c>
      <c r="B17" t="s">
        <v>311</v>
      </c>
      <c r="C17" t="s">
        <v>9</v>
      </c>
      <c r="D17" t="s">
        <v>262</v>
      </c>
      <c r="E17">
        <v>16.324000000000002</v>
      </c>
    </row>
    <row r="18" spans="1:5" x14ac:dyDescent="0.25">
      <c r="A18">
        <v>16</v>
      </c>
      <c r="B18" t="s">
        <v>312</v>
      </c>
      <c r="C18" t="s">
        <v>386</v>
      </c>
      <c r="D18" t="s">
        <v>266</v>
      </c>
      <c r="E18">
        <v>16.283000000000001</v>
      </c>
    </row>
    <row r="19" spans="1:5" x14ac:dyDescent="0.25">
      <c r="A19">
        <v>17</v>
      </c>
      <c r="B19" t="s">
        <v>313</v>
      </c>
      <c r="C19" t="s">
        <v>71</v>
      </c>
      <c r="D19" t="s">
        <v>266</v>
      </c>
      <c r="E19">
        <v>16.228999999999999</v>
      </c>
    </row>
    <row r="20" spans="1:5" x14ac:dyDescent="0.25">
      <c r="A20">
        <v>18</v>
      </c>
      <c r="B20" t="s">
        <v>314</v>
      </c>
      <c r="C20" t="s">
        <v>32</v>
      </c>
      <c r="D20" t="s">
        <v>266</v>
      </c>
      <c r="E20">
        <v>16.032</v>
      </c>
    </row>
    <row r="21" spans="1:5" x14ac:dyDescent="0.25">
      <c r="A21">
        <v>19</v>
      </c>
      <c r="B21" t="s">
        <v>267</v>
      </c>
      <c r="C21" t="s">
        <v>15</v>
      </c>
      <c r="D21" t="s">
        <v>266</v>
      </c>
      <c r="E21">
        <v>15.929</v>
      </c>
    </row>
    <row r="22" spans="1:5" x14ac:dyDescent="0.25">
      <c r="A22">
        <v>20</v>
      </c>
      <c r="B22" t="s">
        <v>315</v>
      </c>
      <c r="C22" t="s">
        <v>123</v>
      </c>
      <c r="D22" t="s">
        <v>262</v>
      </c>
      <c r="E22">
        <v>15.916</v>
      </c>
    </row>
    <row r="23" spans="1:5" x14ac:dyDescent="0.25">
      <c r="A23">
        <v>21</v>
      </c>
      <c r="B23" t="s">
        <v>316</v>
      </c>
      <c r="C23" t="s">
        <v>45</v>
      </c>
      <c r="D23" t="s">
        <v>266</v>
      </c>
      <c r="E23">
        <v>15.823</v>
      </c>
    </row>
    <row r="24" spans="1:5" x14ac:dyDescent="0.25">
      <c r="A24">
        <v>22</v>
      </c>
      <c r="B24" t="s">
        <v>317</v>
      </c>
      <c r="C24" t="s">
        <v>23</v>
      </c>
      <c r="D24" t="s">
        <v>262</v>
      </c>
      <c r="E24">
        <v>15.808999999999999</v>
      </c>
    </row>
    <row r="25" spans="1:5" x14ac:dyDescent="0.25">
      <c r="A25">
        <v>23</v>
      </c>
      <c r="B25" t="s">
        <v>318</v>
      </c>
      <c r="C25" t="s">
        <v>166</v>
      </c>
      <c r="D25" t="s">
        <v>266</v>
      </c>
      <c r="E25">
        <v>15.621</v>
      </c>
    </row>
    <row r="26" spans="1:5" x14ac:dyDescent="0.25">
      <c r="A26">
        <v>24</v>
      </c>
      <c r="B26" t="s">
        <v>319</v>
      </c>
      <c r="C26" t="s">
        <v>181</v>
      </c>
      <c r="D26" t="s">
        <v>266</v>
      </c>
      <c r="E26">
        <v>15.542</v>
      </c>
    </row>
    <row r="27" spans="1:5" x14ac:dyDescent="0.25">
      <c r="A27">
        <v>25</v>
      </c>
      <c r="B27" t="s">
        <v>320</v>
      </c>
      <c r="C27" t="s">
        <v>387</v>
      </c>
      <c r="D27" t="s">
        <v>266</v>
      </c>
      <c r="E27">
        <v>15.526</v>
      </c>
    </row>
    <row r="28" spans="1:5" x14ac:dyDescent="0.25">
      <c r="A28">
        <v>26</v>
      </c>
      <c r="B28" t="s">
        <v>286</v>
      </c>
      <c r="C28" t="s">
        <v>45</v>
      </c>
      <c r="D28" t="s">
        <v>262</v>
      </c>
      <c r="E28">
        <v>15.484999999999999</v>
      </c>
    </row>
    <row r="29" spans="1:5" x14ac:dyDescent="0.25">
      <c r="A29">
        <v>27</v>
      </c>
      <c r="B29" t="s">
        <v>271</v>
      </c>
      <c r="C29" t="s">
        <v>58</v>
      </c>
      <c r="D29" t="s">
        <v>265</v>
      </c>
      <c r="E29">
        <v>15.425000000000001</v>
      </c>
    </row>
    <row r="30" spans="1:5" x14ac:dyDescent="0.25">
      <c r="A30">
        <v>28</v>
      </c>
      <c r="B30" t="s">
        <v>321</v>
      </c>
      <c r="C30" t="s">
        <v>83</v>
      </c>
      <c r="D30" t="s">
        <v>262</v>
      </c>
      <c r="E30">
        <v>15.353</v>
      </c>
    </row>
    <row r="31" spans="1:5" x14ac:dyDescent="0.25">
      <c r="A31">
        <v>29</v>
      </c>
      <c r="B31" t="s">
        <v>285</v>
      </c>
      <c r="C31" t="s">
        <v>42</v>
      </c>
      <c r="D31" t="s">
        <v>266</v>
      </c>
      <c r="E31">
        <v>15.35</v>
      </c>
    </row>
    <row r="32" spans="1:5" x14ac:dyDescent="0.25">
      <c r="A32">
        <v>30</v>
      </c>
      <c r="B32" t="s">
        <v>322</v>
      </c>
      <c r="C32" t="s">
        <v>30</v>
      </c>
      <c r="D32" t="s">
        <v>266</v>
      </c>
      <c r="E32">
        <v>15.252000000000001</v>
      </c>
    </row>
    <row r="33" spans="1:5" x14ac:dyDescent="0.25">
      <c r="A33">
        <v>31</v>
      </c>
      <c r="B33" t="s">
        <v>323</v>
      </c>
      <c r="C33" t="s">
        <v>84</v>
      </c>
      <c r="D33" t="s">
        <v>266</v>
      </c>
      <c r="E33">
        <v>15.164</v>
      </c>
    </row>
    <row r="34" spans="1:5" x14ac:dyDescent="0.25">
      <c r="A34">
        <v>32</v>
      </c>
      <c r="B34" t="s">
        <v>324</v>
      </c>
      <c r="C34" t="s">
        <v>51</v>
      </c>
      <c r="D34" t="s">
        <v>262</v>
      </c>
      <c r="E34">
        <v>15.147</v>
      </c>
    </row>
    <row r="35" spans="1:5" x14ac:dyDescent="0.25">
      <c r="A35">
        <v>33</v>
      </c>
      <c r="B35" t="s">
        <v>325</v>
      </c>
      <c r="C35" t="s">
        <v>53</v>
      </c>
      <c r="D35" t="s">
        <v>265</v>
      </c>
      <c r="E35">
        <v>15.138</v>
      </c>
    </row>
    <row r="36" spans="1:5" x14ac:dyDescent="0.25">
      <c r="A36">
        <v>34</v>
      </c>
      <c r="B36" t="s">
        <v>279</v>
      </c>
      <c r="C36" t="s">
        <v>96</v>
      </c>
      <c r="D36" t="s">
        <v>265</v>
      </c>
      <c r="E36">
        <v>15.13</v>
      </c>
    </row>
    <row r="37" spans="1:5" x14ac:dyDescent="0.25">
      <c r="A37">
        <v>35</v>
      </c>
      <c r="B37" t="s">
        <v>326</v>
      </c>
      <c r="C37" t="s">
        <v>168</v>
      </c>
      <c r="D37" t="s">
        <v>266</v>
      </c>
      <c r="E37">
        <v>15.082000000000001</v>
      </c>
    </row>
    <row r="38" spans="1:5" x14ac:dyDescent="0.25">
      <c r="A38">
        <v>36</v>
      </c>
      <c r="B38" t="s">
        <v>327</v>
      </c>
      <c r="C38" t="s">
        <v>237</v>
      </c>
      <c r="D38" t="s">
        <v>266</v>
      </c>
      <c r="E38">
        <v>14.965999999999999</v>
      </c>
    </row>
    <row r="39" spans="1:5" x14ac:dyDescent="0.25">
      <c r="A39">
        <v>37</v>
      </c>
      <c r="B39" t="s">
        <v>328</v>
      </c>
      <c r="C39" t="s">
        <v>125</v>
      </c>
      <c r="D39" t="s">
        <v>266</v>
      </c>
      <c r="E39">
        <v>14.945</v>
      </c>
    </row>
    <row r="40" spans="1:5" x14ac:dyDescent="0.25">
      <c r="A40">
        <v>38</v>
      </c>
      <c r="B40" t="s">
        <v>284</v>
      </c>
      <c r="C40" t="s">
        <v>182</v>
      </c>
      <c r="D40" t="s">
        <v>262</v>
      </c>
      <c r="E40">
        <v>14.843</v>
      </c>
    </row>
    <row r="41" spans="1:5" x14ac:dyDescent="0.25">
      <c r="A41">
        <v>39</v>
      </c>
      <c r="B41" t="s">
        <v>329</v>
      </c>
      <c r="C41" t="s">
        <v>156</v>
      </c>
      <c r="D41" t="s">
        <v>266</v>
      </c>
      <c r="E41">
        <v>14.823</v>
      </c>
    </row>
    <row r="42" spans="1:5" x14ac:dyDescent="0.25">
      <c r="A42">
        <v>40</v>
      </c>
      <c r="B42" t="s">
        <v>282</v>
      </c>
      <c r="C42" t="s">
        <v>12</v>
      </c>
      <c r="D42" t="s">
        <v>262</v>
      </c>
      <c r="E42">
        <v>14.797000000000001</v>
      </c>
    </row>
    <row r="43" spans="1:5" x14ac:dyDescent="0.25">
      <c r="A43">
        <v>41</v>
      </c>
      <c r="B43" t="s">
        <v>276</v>
      </c>
      <c r="C43" t="s">
        <v>34</v>
      </c>
      <c r="D43" t="s">
        <v>266</v>
      </c>
      <c r="E43">
        <v>14.792999999999999</v>
      </c>
    </row>
    <row r="44" spans="1:5" x14ac:dyDescent="0.25">
      <c r="A44">
        <v>42</v>
      </c>
      <c r="B44" t="s">
        <v>330</v>
      </c>
      <c r="C44" t="s">
        <v>100</v>
      </c>
      <c r="D44" t="s">
        <v>265</v>
      </c>
      <c r="E44">
        <v>14.746</v>
      </c>
    </row>
    <row r="45" spans="1:5" x14ac:dyDescent="0.25">
      <c r="A45">
        <v>43</v>
      </c>
      <c r="B45" t="s">
        <v>331</v>
      </c>
      <c r="C45" t="s">
        <v>7</v>
      </c>
      <c r="D45" t="s">
        <v>266</v>
      </c>
      <c r="E45">
        <v>14.576000000000001</v>
      </c>
    </row>
    <row r="46" spans="1:5" x14ac:dyDescent="0.25">
      <c r="A46">
        <v>44</v>
      </c>
      <c r="B46" t="s">
        <v>332</v>
      </c>
      <c r="C46" t="s">
        <v>112</v>
      </c>
      <c r="D46" t="s">
        <v>266</v>
      </c>
      <c r="E46">
        <v>14.5</v>
      </c>
    </row>
    <row r="47" spans="1:5" x14ac:dyDescent="0.25">
      <c r="A47">
        <v>45</v>
      </c>
      <c r="B47" t="s">
        <v>333</v>
      </c>
      <c r="C47" t="s">
        <v>93</v>
      </c>
      <c r="D47" t="s">
        <v>262</v>
      </c>
      <c r="E47">
        <v>14.468999999999999</v>
      </c>
    </row>
    <row r="48" spans="1:5" x14ac:dyDescent="0.25">
      <c r="A48">
        <v>46</v>
      </c>
      <c r="B48" t="s">
        <v>334</v>
      </c>
      <c r="C48" t="s">
        <v>179</v>
      </c>
      <c r="D48" t="s">
        <v>262</v>
      </c>
      <c r="E48">
        <v>14.441000000000001</v>
      </c>
    </row>
    <row r="49" spans="1:5" x14ac:dyDescent="0.25">
      <c r="A49">
        <v>47</v>
      </c>
      <c r="B49" t="s">
        <v>335</v>
      </c>
      <c r="C49" t="s">
        <v>388</v>
      </c>
      <c r="D49" t="s">
        <v>262</v>
      </c>
      <c r="E49">
        <v>14.39</v>
      </c>
    </row>
    <row r="50" spans="1:5" x14ac:dyDescent="0.25">
      <c r="A50">
        <v>48</v>
      </c>
      <c r="B50" t="s">
        <v>336</v>
      </c>
      <c r="C50" t="s">
        <v>12</v>
      </c>
      <c r="D50" t="s">
        <v>266</v>
      </c>
      <c r="E50">
        <v>14.25</v>
      </c>
    </row>
    <row r="51" spans="1:5" x14ac:dyDescent="0.25">
      <c r="A51">
        <v>49</v>
      </c>
      <c r="B51" t="s">
        <v>337</v>
      </c>
      <c r="C51" t="s">
        <v>8</v>
      </c>
      <c r="D51" t="s">
        <v>266</v>
      </c>
      <c r="E51">
        <v>14.191000000000001</v>
      </c>
    </row>
    <row r="52" spans="1:5" x14ac:dyDescent="0.25">
      <c r="A52">
        <v>50</v>
      </c>
      <c r="B52" t="s">
        <v>338</v>
      </c>
      <c r="C52" t="s">
        <v>389</v>
      </c>
      <c r="D52" t="s">
        <v>266</v>
      </c>
      <c r="E52">
        <v>14.180999999999999</v>
      </c>
    </row>
    <row r="53" spans="1:5" x14ac:dyDescent="0.25">
      <c r="A53">
        <v>51</v>
      </c>
      <c r="B53" t="s">
        <v>339</v>
      </c>
      <c r="C53" t="s">
        <v>390</v>
      </c>
      <c r="D53" t="s">
        <v>266</v>
      </c>
      <c r="E53">
        <v>14.173</v>
      </c>
    </row>
    <row r="54" spans="1:5" x14ac:dyDescent="0.25">
      <c r="A54">
        <v>52</v>
      </c>
      <c r="B54" t="s">
        <v>340</v>
      </c>
      <c r="C54" t="s">
        <v>215</v>
      </c>
      <c r="D54" t="s">
        <v>262</v>
      </c>
      <c r="E54">
        <v>14.159000000000001</v>
      </c>
    </row>
    <row r="55" spans="1:5" x14ac:dyDescent="0.25">
      <c r="A55">
        <v>53</v>
      </c>
      <c r="B55" t="s">
        <v>275</v>
      </c>
      <c r="C55" t="s">
        <v>131</v>
      </c>
      <c r="D55" t="s">
        <v>262</v>
      </c>
      <c r="E55">
        <v>14.138999999999999</v>
      </c>
    </row>
    <row r="56" spans="1:5" x14ac:dyDescent="0.25">
      <c r="A56">
        <v>54</v>
      </c>
      <c r="B56" t="s">
        <v>341</v>
      </c>
      <c r="C56" t="s">
        <v>108</v>
      </c>
      <c r="D56" t="s">
        <v>266</v>
      </c>
      <c r="E56">
        <v>14.1</v>
      </c>
    </row>
    <row r="57" spans="1:5" x14ac:dyDescent="0.25">
      <c r="A57">
        <v>55</v>
      </c>
      <c r="B57" t="s">
        <v>270</v>
      </c>
      <c r="C57" t="s">
        <v>391</v>
      </c>
      <c r="D57" t="s">
        <v>262</v>
      </c>
      <c r="E57">
        <v>14.090999999999999</v>
      </c>
    </row>
    <row r="58" spans="1:5" x14ac:dyDescent="0.25">
      <c r="A58">
        <v>56</v>
      </c>
      <c r="B58" t="s">
        <v>342</v>
      </c>
      <c r="C58" t="s">
        <v>144</v>
      </c>
      <c r="D58" t="s">
        <v>262</v>
      </c>
      <c r="E58">
        <v>14.079000000000001</v>
      </c>
    </row>
    <row r="59" spans="1:5" x14ac:dyDescent="0.25">
      <c r="A59">
        <v>57</v>
      </c>
      <c r="B59" t="s">
        <v>343</v>
      </c>
      <c r="C59" t="s">
        <v>130</v>
      </c>
      <c r="D59" t="s">
        <v>262</v>
      </c>
      <c r="E59">
        <v>14.064</v>
      </c>
    </row>
    <row r="60" spans="1:5" x14ac:dyDescent="0.25">
      <c r="A60">
        <v>58</v>
      </c>
      <c r="B60" t="s">
        <v>344</v>
      </c>
      <c r="C60" t="s">
        <v>88</v>
      </c>
      <c r="D60" t="s">
        <v>266</v>
      </c>
      <c r="E60">
        <v>14.05</v>
      </c>
    </row>
    <row r="61" spans="1:5" x14ac:dyDescent="0.25">
      <c r="A61">
        <v>59</v>
      </c>
      <c r="B61" t="s">
        <v>345</v>
      </c>
      <c r="C61" t="s">
        <v>21</v>
      </c>
      <c r="D61" t="s">
        <v>262</v>
      </c>
      <c r="E61">
        <v>13.956</v>
      </c>
    </row>
    <row r="62" spans="1:5" x14ac:dyDescent="0.25">
      <c r="A62">
        <v>60</v>
      </c>
      <c r="B62" t="s">
        <v>346</v>
      </c>
      <c r="C62" t="s">
        <v>385</v>
      </c>
      <c r="D62" t="s">
        <v>262</v>
      </c>
      <c r="E62">
        <v>13.9</v>
      </c>
    </row>
    <row r="63" spans="1:5" x14ac:dyDescent="0.25">
      <c r="A63">
        <v>61</v>
      </c>
      <c r="B63" t="s">
        <v>347</v>
      </c>
      <c r="C63" t="s">
        <v>392</v>
      </c>
      <c r="D63" t="s">
        <v>266</v>
      </c>
      <c r="E63">
        <v>13.887</v>
      </c>
    </row>
    <row r="64" spans="1:5" x14ac:dyDescent="0.25">
      <c r="A64">
        <v>62</v>
      </c>
      <c r="B64" t="s">
        <v>348</v>
      </c>
      <c r="C64" t="s">
        <v>20</v>
      </c>
      <c r="D64" t="s">
        <v>266</v>
      </c>
      <c r="E64">
        <v>13.847</v>
      </c>
    </row>
    <row r="65" spans="1:5" x14ac:dyDescent="0.25">
      <c r="A65">
        <v>63</v>
      </c>
      <c r="B65" t="s">
        <v>349</v>
      </c>
      <c r="C65" t="s">
        <v>52</v>
      </c>
      <c r="D65" t="s">
        <v>266</v>
      </c>
      <c r="E65">
        <v>13.843999999999999</v>
      </c>
    </row>
    <row r="66" spans="1:5" x14ac:dyDescent="0.25">
      <c r="A66">
        <v>64</v>
      </c>
      <c r="B66" t="s">
        <v>350</v>
      </c>
      <c r="C66" t="s">
        <v>289</v>
      </c>
      <c r="D66" t="s">
        <v>266</v>
      </c>
      <c r="E66">
        <v>13.827999999999999</v>
      </c>
    </row>
    <row r="67" spans="1:5" x14ac:dyDescent="0.25">
      <c r="A67">
        <v>65</v>
      </c>
      <c r="B67" t="s">
        <v>269</v>
      </c>
      <c r="C67" t="s">
        <v>63</v>
      </c>
      <c r="D67" t="s">
        <v>262</v>
      </c>
      <c r="E67">
        <v>13.728</v>
      </c>
    </row>
    <row r="68" spans="1:5" x14ac:dyDescent="0.25">
      <c r="A68">
        <v>66</v>
      </c>
      <c r="B68" t="s">
        <v>351</v>
      </c>
      <c r="C68" t="s">
        <v>88</v>
      </c>
      <c r="D68" t="s">
        <v>266</v>
      </c>
      <c r="E68">
        <v>13.707000000000001</v>
      </c>
    </row>
    <row r="69" spans="1:5" x14ac:dyDescent="0.25">
      <c r="A69">
        <v>67</v>
      </c>
      <c r="B69" t="s">
        <v>352</v>
      </c>
      <c r="C69" t="s">
        <v>80</v>
      </c>
      <c r="D69" t="s">
        <v>262</v>
      </c>
      <c r="E69">
        <v>13.696999999999999</v>
      </c>
    </row>
    <row r="70" spans="1:5" x14ac:dyDescent="0.25">
      <c r="A70">
        <v>68</v>
      </c>
      <c r="B70" t="s">
        <v>353</v>
      </c>
      <c r="C70" t="s">
        <v>64</v>
      </c>
      <c r="D70" t="s">
        <v>266</v>
      </c>
      <c r="E70">
        <v>13.683999999999999</v>
      </c>
    </row>
    <row r="71" spans="1:5" x14ac:dyDescent="0.25">
      <c r="A71">
        <v>69</v>
      </c>
      <c r="B71" t="s">
        <v>354</v>
      </c>
      <c r="C71" t="s">
        <v>103</v>
      </c>
      <c r="D71" t="s">
        <v>262</v>
      </c>
      <c r="E71">
        <v>13.667999999999999</v>
      </c>
    </row>
    <row r="72" spans="1:5" x14ac:dyDescent="0.25">
      <c r="A72">
        <v>70</v>
      </c>
      <c r="B72" t="s">
        <v>355</v>
      </c>
      <c r="C72" t="s">
        <v>393</v>
      </c>
      <c r="D72" t="s">
        <v>266</v>
      </c>
      <c r="E72">
        <v>13.663</v>
      </c>
    </row>
    <row r="73" spans="1:5" x14ac:dyDescent="0.25">
      <c r="A73">
        <v>71</v>
      </c>
      <c r="B73" t="s">
        <v>356</v>
      </c>
      <c r="C73" t="s">
        <v>107</v>
      </c>
      <c r="D73" t="s">
        <v>266</v>
      </c>
      <c r="E73">
        <v>13.648999999999999</v>
      </c>
    </row>
    <row r="74" spans="1:5" x14ac:dyDescent="0.25">
      <c r="A74">
        <v>72</v>
      </c>
      <c r="B74" t="s">
        <v>357</v>
      </c>
      <c r="C74" t="s">
        <v>156</v>
      </c>
      <c r="D74" t="s">
        <v>262</v>
      </c>
      <c r="E74">
        <v>13.632999999999999</v>
      </c>
    </row>
    <row r="75" spans="1:5" x14ac:dyDescent="0.25">
      <c r="A75">
        <v>73</v>
      </c>
      <c r="B75" t="s">
        <v>358</v>
      </c>
      <c r="C75" t="s">
        <v>189</v>
      </c>
      <c r="D75" t="s">
        <v>262</v>
      </c>
      <c r="E75">
        <v>13.619</v>
      </c>
    </row>
    <row r="76" spans="1:5" x14ac:dyDescent="0.25">
      <c r="A76">
        <v>74</v>
      </c>
      <c r="B76" t="s">
        <v>359</v>
      </c>
      <c r="C76" t="s">
        <v>103</v>
      </c>
      <c r="D76" t="s">
        <v>266</v>
      </c>
      <c r="E76">
        <v>13.574</v>
      </c>
    </row>
    <row r="77" spans="1:5" x14ac:dyDescent="0.25">
      <c r="A77">
        <v>75</v>
      </c>
      <c r="B77" t="s">
        <v>360</v>
      </c>
      <c r="C77" t="s">
        <v>55</v>
      </c>
      <c r="D77" t="s">
        <v>262</v>
      </c>
      <c r="E77">
        <v>13.552</v>
      </c>
    </row>
    <row r="78" spans="1:5" x14ac:dyDescent="0.25">
      <c r="A78">
        <v>76</v>
      </c>
      <c r="B78" t="s">
        <v>361</v>
      </c>
      <c r="C78" t="s">
        <v>394</v>
      </c>
      <c r="D78" t="s">
        <v>266</v>
      </c>
      <c r="E78">
        <v>13.544</v>
      </c>
    </row>
    <row r="79" spans="1:5" x14ac:dyDescent="0.25">
      <c r="A79">
        <v>76</v>
      </c>
      <c r="B79" t="s">
        <v>362</v>
      </c>
      <c r="C79" t="s">
        <v>38</v>
      </c>
      <c r="D79" t="s">
        <v>266</v>
      </c>
      <c r="E79">
        <v>13.544</v>
      </c>
    </row>
    <row r="80" spans="1:5" x14ac:dyDescent="0.25">
      <c r="A80">
        <v>78</v>
      </c>
      <c r="B80" t="s">
        <v>363</v>
      </c>
      <c r="C80" t="s">
        <v>78</v>
      </c>
      <c r="D80" t="s">
        <v>266</v>
      </c>
      <c r="E80">
        <v>13.538</v>
      </c>
    </row>
    <row r="81" spans="1:5" x14ac:dyDescent="0.25">
      <c r="A81">
        <v>79</v>
      </c>
      <c r="B81" t="s">
        <v>364</v>
      </c>
      <c r="C81" t="s">
        <v>99</v>
      </c>
      <c r="D81" t="s">
        <v>262</v>
      </c>
      <c r="E81">
        <v>13.525</v>
      </c>
    </row>
    <row r="82" spans="1:5" x14ac:dyDescent="0.25">
      <c r="A82">
        <v>80</v>
      </c>
      <c r="B82" t="s">
        <v>365</v>
      </c>
      <c r="C82" t="s">
        <v>395</v>
      </c>
      <c r="D82" t="s">
        <v>266</v>
      </c>
      <c r="E82">
        <v>13.518000000000001</v>
      </c>
    </row>
    <row r="83" spans="1:5" x14ac:dyDescent="0.25">
      <c r="A83">
        <v>81</v>
      </c>
      <c r="B83" t="s">
        <v>366</v>
      </c>
      <c r="C83" t="s">
        <v>153</v>
      </c>
      <c r="D83" t="s">
        <v>266</v>
      </c>
      <c r="E83">
        <v>13.465999999999999</v>
      </c>
    </row>
    <row r="84" spans="1:5" x14ac:dyDescent="0.25">
      <c r="A84">
        <v>82</v>
      </c>
      <c r="B84" t="s">
        <v>367</v>
      </c>
      <c r="C84" t="s">
        <v>143</v>
      </c>
      <c r="D84" t="s">
        <v>262</v>
      </c>
      <c r="E84">
        <v>13.43</v>
      </c>
    </row>
    <row r="85" spans="1:5" x14ac:dyDescent="0.25">
      <c r="A85">
        <v>83</v>
      </c>
      <c r="B85" t="s">
        <v>368</v>
      </c>
      <c r="C85" t="s">
        <v>11</v>
      </c>
      <c r="D85" t="s">
        <v>266</v>
      </c>
      <c r="E85">
        <v>13.388</v>
      </c>
    </row>
    <row r="86" spans="1:5" x14ac:dyDescent="0.25">
      <c r="A86">
        <v>84</v>
      </c>
      <c r="B86" t="s">
        <v>369</v>
      </c>
      <c r="C86" t="s">
        <v>396</v>
      </c>
      <c r="D86" t="s">
        <v>262</v>
      </c>
      <c r="E86">
        <v>13.367000000000001</v>
      </c>
    </row>
    <row r="87" spans="1:5" x14ac:dyDescent="0.25">
      <c r="A87">
        <v>85</v>
      </c>
      <c r="B87" t="s">
        <v>278</v>
      </c>
      <c r="C87" t="s">
        <v>113</v>
      </c>
      <c r="D87" t="s">
        <v>266</v>
      </c>
      <c r="E87">
        <v>13.35</v>
      </c>
    </row>
    <row r="88" spans="1:5" x14ac:dyDescent="0.25">
      <c r="A88">
        <v>86</v>
      </c>
      <c r="B88" t="s">
        <v>370</v>
      </c>
      <c r="C88" t="s">
        <v>196</v>
      </c>
      <c r="D88" t="s">
        <v>266</v>
      </c>
      <c r="E88">
        <v>13.333</v>
      </c>
    </row>
    <row r="89" spans="1:5" x14ac:dyDescent="0.25">
      <c r="A89">
        <v>87</v>
      </c>
      <c r="B89" t="s">
        <v>371</v>
      </c>
      <c r="C89" t="s">
        <v>221</v>
      </c>
      <c r="D89" t="s">
        <v>266</v>
      </c>
      <c r="E89">
        <v>13.31</v>
      </c>
    </row>
    <row r="90" spans="1:5" x14ac:dyDescent="0.25">
      <c r="A90">
        <v>88</v>
      </c>
      <c r="B90" t="s">
        <v>372</v>
      </c>
      <c r="C90" t="s">
        <v>119</v>
      </c>
      <c r="D90" t="s">
        <v>262</v>
      </c>
      <c r="E90">
        <v>13.3</v>
      </c>
    </row>
    <row r="91" spans="1:5" x14ac:dyDescent="0.25">
      <c r="A91">
        <v>89</v>
      </c>
      <c r="B91" t="s">
        <v>373</v>
      </c>
      <c r="C91" t="s">
        <v>113</v>
      </c>
      <c r="D91" t="s">
        <v>262</v>
      </c>
      <c r="E91">
        <v>13.3</v>
      </c>
    </row>
    <row r="92" spans="1:5" x14ac:dyDescent="0.25">
      <c r="A92">
        <v>90</v>
      </c>
      <c r="B92" t="s">
        <v>374</v>
      </c>
      <c r="C92" t="s">
        <v>141</v>
      </c>
      <c r="D92" t="s">
        <v>266</v>
      </c>
      <c r="E92">
        <v>13.297000000000001</v>
      </c>
    </row>
    <row r="93" spans="1:5" x14ac:dyDescent="0.25">
      <c r="A93">
        <v>91</v>
      </c>
      <c r="B93" t="s">
        <v>277</v>
      </c>
      <c r="C93" t="s">
        <v>32</v>
      </c>
      <c r="D93" t="s">
        <v>262</v>
      </c>
      <c r="E93">
        <v>13.273999999999999</v>
      </c>
    </row>
    <row r="94" spans="1:5" x14ac:dyDescent="0.25">
      <c r="A94">
        <v>92</v>
      </c>
      <c r="B94" t="s">
        <v>375</v>
      </c>
      <c r="C94" t="s">
        <v>114</v>
      </c>
      <c r="D94" t="s">
        <v>265</v>
      </c>
      <c r="E94">
        <v>13.266999999999999</v>
      </c>
    </row>
    <row r="95" spans="1:5" x14ac:dyDescent="0.25">
      <c r="A95">
        <v>93</v>
      </c>
      <c r="B95" t="s">
        <v>376</v>
      </c>
      <c r="C95" t="s">
        <v>59</v>
      </c>
      <c r="D95" t="s">
        <v>262</v>
      </c>
      <c r="E95">
        <v>13.255000000000001</v>
      </c>
    </row>
    <row r="96" spans="1:5" x14ac:dyDescent="0.25">
      <c r="A96">
        <v>93</v>
      </c>
      <c r="B96" t="s">
        <v>377</v>
      </c>
      <c r="C96" t="s">
        <v>28</v>
      </c>
      <c r="D96" t="s">
        <v>266</v>
      </c>
      <c r="E96">
        <v>13.255000000000001</v>
      </c>
    </row>
    <row r="97" spans="1:5" x14ac:dyDescent="0.25">
      <c r="A97">
        <v>95</v>
      </c>
      <c r="B97" t="s">
        <v>378</v>
      </c>
      <c r="C97" t="s">
        <v>398</v>
      </c>
      <c r="D97" t="s">
        <v>262</v>
      </c>
      <c r="E97">
        <v>13.247</v>
      </c>
    </row>
    <row r="98" spans="1:5" x14ac:dyDescent="0.25">
      <c r="A98">
        <v>96</v>
      </c>
      <c r="B98" t="s">
        <v>379</v>
      </c>
      <c r="C98" t="s">
        <v>6</v>
      </c>
      <c r="D98" t="s">
        <v>262</v>
      </c>
      <c r="E98">
        <v>13.212999999999999</v>
      </c>
    </row>
    <row r="99" spans="1:5" x14ac:dyDescent="0.25">
      <c r="A99">
        <v>97</v>
      </c>
      <c r="B99" t="s">
        <v>380</v>
      </c>
      <c r="C99" t="s">
        <v>397</v>
      </c>
      <c r="D99" t="s">
        <v>262</v>
      </c>
      <c r="E99">
        <v>13.169</v>
      </c>
    </row>
    <row r="100" spans="1:5" x14ac:dyDescent="0.25">
      <c r="A100">
        <v>98</v>
      </c>
      <c r="B100" t="s">
        <v>381</v>
      </c>
      <c r="C100" t="s">
        <v>151</v>
      </c>
      <c r="D100" t="s">
        <v>262</v>
      </c>
      <c r="E100">
        <v>13.121</v>
      </c>
    </row>
    <row r="101" spans="1:5" x14ac:dyDescent="0.25">
      <c r="A101">
        <v>99</v>
      </c>
      <c r="B101" t="s">
        <v>382</v>
      </c>
      <c r="C101" t="s">
        <v>72</v>
      </c>
      <c r="D101" t="s">
        <v>266</v>
      </c>
      <c r="E101">
        <v>13.103999999999999</v>
      </c>
    </row>
    <row r="102" spans="1:5" x14ac:dyDescent="0.25">
      <c r="A102">
        <v>100</v>
      </c>
      <c r="B102" t="s">
        <v>383</v>
      </c>
      <c r="C102" t="s">
        <v>398</v>
      </c>
      <c r="D102" t="s">
        <v>266</v>
      </c>
      <c r="E102">
        <v>13.016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README</vt:lpstr>
      <vt:lpstr>Matchup Comparison</vt:lpstr>
      <vt:lpstr>TeamRankings Data</vt:lpstr>
      <vt:lpstr>2023 Game Score (Player)</vt:lpstr>
      <vt:lpstr>Columns</vt:lpstr>
      <vt:lpstr>Data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Peterson</dc:creator>
  <cp:lastModifiedBy>Drew Peterson</cp:lastModifiedBy>
  <dcterms:created xsi:type="dcterms:W3CDTF">2022-03-14T19:22:47Z</dcterms:created>
  <dcterms:modified xsi:type="dcterms:W3CDTF">2026-01-25T19:03:00Z</dcterms:modified>
</cp:coreProperties>
</file>